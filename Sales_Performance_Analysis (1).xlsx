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abs\Downloads\"/>
    </mc:Choice>
  </mc:AlternateContent>
  <xr:revisionPtr revIDLastSave="0" documentId="13_ncr:1_{A520C1E0-14C1-4F24-A8AF-40665197CB6D}" xr6:coauthVersionLast="47" xr6:coauthVersionMax="47" xr10:uidLastSave="{00000000-0000-0000-0000-000000000000}"/>
  <bookViews>
    <workbookView xWindow="-110" yWindow="-110" windowWidth="19420" windowHeight="11500" tabRatio="500" firstSheet="1" activeTab="3" xr2:uid="{00000000-000D-0000-FFFF-FFFF00000000}"/>
  </bookViews>
  <sheets>
    <sheet name="README - Assumptions" sheetId="1" r:id="rId1"/>
    <sheet name="Sales_Data" sheetId="2" r:id="rId2"/>
    <sheet name="Products" sheetId="3" r:id="rId3"/>
    <sheet name="Monthly_Targe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201" i="2" l="1"/>
  <c r="L1200" i="2"/>
  <c r="M1200" i="2" s="1"/>
  <c r="N1200" i="2" s="1"/>
  <c r="L1199" i="2"/>
  <c r="L1198" i="2"/>
  <c r="L1197" i="2"/>
  <c r="L1196" i="2"/>
  <c r="L1195" i="2"/>
  <c r="M1195" i="2" s="1"/>
  <c r="L1194" i="2"/>
  <c r="M1194" i="2" s="1"/>
  <c r="L1193" i="2"/>
  <c r="L1192" i="2"/>
  <c r="M1192" i="2" s="1"/>
  <c r="N1192" i="2" s="1"/>
  <c r="L1191" i="2"/>
  <c r="M1191" i="2" s="1"/>
  <c r="N1191" i="2" s="1"/>
  <c r="L1190" i="2"/>
  <c r="M1190" i="2" s="1"/>
  <c r="L1189" i="2"/>
  <c r="M1189" i="2" s="1"/>
  <c r="N1189" i="2" s="1"/>
  <c r="L1188" i="2"/>
  <c r="L1187" i="2"/>
  <c r="M1187" i="2" s="1"/>
  <c r="L1186" i="2"/>
  <c r="M1186" i="2" s="1"/>
  <c r="N1186" i="2" s="1"/>
  <c r="L1185" i="2"/>
  <c r="M1185" i="2" s="1"/>
  <c r="L1184" i="2"/>
  <c r="M1184" i="2" s="1"/>
  <c r="N1184" i="2" s="1"/>
  <c r="L1183" i="2"/>
  <c r="M1183" i="2" s="1"/>
  <c r="N1183" i="2" s="1"/>
  <c r="L1182" i="2"/>
  <c r="L1181" i="2"/>
  <c r="L1180" i="2"/>
  <c r="M1180" i="2" s="1"/>
  <c r="L1179" i="2"/>
  <c r="M1179" i="2" s="1"/>
  <c r="L1178" i="2"/>
  <c r="M1178" i="2" s="1"/>
  <c r="L1177" i="2"/>
  <c r="L1176" i="2"/>
  <c r="M1176" i="2" s="1"/>
  <c r="N1176" i="2" s="1"/>
  <c r="L1175" i="2"/>
  <c r="M1175" i="2" s="1"/>
  <c r="N1175" i="2" s="1"/>
  <c r="L1174" i="2"/>
  <c r="M1174" i="2" s="1"/>
  <c r="L1173" i="2"/>
  <c r="M1173" i="2" s="1"/>
  <c r="N1173" i="2" s="1"/>
  <c r="L1172" i="2"/>
  <c r="L1171" i="2"/>
  <c r="L1170" i="2"/>
  <c r="M1170" i="2" s="1"/>
  <c r="L1169" i="2"/>
  <c r="L1168" i="2"/>
  <c r="M1168" i="2" s="1"/>
  <c r="L1167" i="2"/>
  <c r="M1167" i="2" s="1"/>
  <c r="N1167" i="2" s="1"/>
  <c r="L1166" i="2"/>
  <c r="L1165" i="2"/>
  <c r="L1164" i="2"/>
  <c r="L1163" i="2"/>
  <c r="M1163" i="2" s="1"/>
  <c r="M1162" i="2"/>
  <c r="N1162" i="2" s="1"/>
  <c r="L1162" i="2"/>
  <c r="L1161" i="2"/>
  <c r="M1161" i="2" s="1"/>
  <c r="L1160" i="2"/>
  <c r="M1160" i="2" s="1"/>
  <c r="N1160" i="2" s="1"/>
  <c r="L1159" i="2"/>
  <c r="L1158" i="2"/>
  <c r="M1157" i="2"/>
  <c r="N1157" i="2" s="1"/>
  <c r="L1157" i="2"/>
  <c r="L1156" i="2"/>
  <c r="M1156" i="2" s="1"/>
  <c r="L1155" i="2"/>
  <c r="L1154" i="2"/>
  <c r="L1153" i="2"/>
  <c r="L1152" i="2"/>
  <c r="M1152" i="2" s="1"/>
  <c r="L1151" i="2"/>
  <c r="M1151" i="2" s="1"/>
  <c r="N1151" i="2" s="1"/>
  <c r="L1150" i="2"/>
  <c r="L1149" i="2"/>
  <c r="M1149" i="2" s="1"/>
  <c r="N1149" i="2" s="1"/>
  <c r="L1148" i="2"/>
  <c r="M1148" i="2" s="1"/>
  <c r="L1147" i="2"/>
  <c r="M1147" i="2" s="1"/>
  <c r="L1146" i="2"/>
  <c r="M1146" i="2" s="1"/>
  <c r="L1145" i="2"/>
  <c r="L1144" i="2"/>
  <c r="M1144" i="2" s="1"/>
  <c r="N1144" i="2" s="1"/>
  <c r="L1143" i="2"/>
  <c r="M1143" i="2" s="1"/>
  <c r="N1143" i="2" s="1"/>
  <c r="L1142" i="2"/>
  <c r="L1141" i="2"/>
  <c r="M1141" i="2" s="1"/>
  <c r="N1141" i="2" s="1"/>
  <c r="L1140" i="2"/>
  <c r="M1140" i="2" s="1"/>
  <c r="L1139" i="2"/>
  <c r="M1139" i="2" s="1"/>
  <c r="L1138" i="2"/>
  <c r="L1137" i="2"/>
  <c r="L1136" i="2"/>
  <c r="M1136" i="2" s="1"/>
  <c r="N1136" i="2" s="1"/>
  <c r="L1135" i="2"/>
  <c r="M1135" i="2" s="1"/>
  <c r="N1135" i="2" s="1"/>
  <c r="L1134" i="2"/>
  <c r="L1133" i="2"/>
  <c r="M1133" i="2" s="1"/>
  <c r="L1132" i="2"/>
  <c r="L1131" i="2"/>
  <c r="M1131" i="2" s="1"/>
  <c r="L1130" i="2"/>
  <c r="L1129" i="2"/>
  <c r="M1129" i="2" s="1"/>
  <c r="L1128" i="2"/>
  <c r="M1128" i="2" s="1"/>
  <c r="N1128" i="2" s="1"/>
  <c r="L1127" i="2"/>
  <c r="M1127" i="2" s="1"/>
  <c r="N1127" i="2" s="1"/>
  <c r="L1126" i="2"/>
  <c r="M1126" i="2" s="1"/>
  <c r="L1125" i="2"/>
  <c r="L1124" i="2"/>
  <c r="M1124" i="2" s="1"/>
  <c r="L1123" i="2"/>
  <c r="M1123" i="2" s="1"/>
  <c r="L1122" i="2"/>
  <c r="M1122" i="2" s="1"/>
  <c r="L1121" i="2"/>
  <c r="M1121" i="2" s="1"/>
  <c r="L1120" i="2"/>
  <c r="L1119" i="2"/>
  <c r="M1119" i="2" s="1"/>
  <c r="N1119" i="2" s="1"/>
  <c r="L1118" i="2"/>
  <c r="L1117" i="2"/>
  <c r="M1117" i="2" s="1"/>
  <c r="N1117" i="2" s="1"/>
  <c r="L1116" i="2"/>
  <c r="M1116" i="2" s="1"/>
  <c r="L1115" i="2"/>
  <c r="M1115" i="2" s="1"/>
  <c r="L1114" i="2"/>
  <c r="L1113" i="2"/>
  <c r="L1112" i="2"/>
  <c r="M1112" i="2" s="1"/>
  <c r="N1112" i="2" s="1"/>
  <c r="L1111" i="2"/>
  <c r="M1111" i="2" s="1"/>
  <c r="N1111" i="2" s="1"/>
  <c r="L1110" i="2"/>
  <c r="M1110" i="2" s="1"/>
  <c r="L1109" i="2"/>
  <c r="M1109" i="2" s="1"/>
  <c r="N1109" i="2" s="1"/>
  <c r="L1108" i="2"/>
  <c r="L1107" i="2"/>
  <c r="L1106" i="2"/>
  <c r="L1105" i="2"/>
  <c r="L1104" i="2"/>
  <c r="L1103" i="2"/>
  <c r="L1102" i="2"/>
  <c r="L1101" i="2"/>
  <c r="M1101" i="2" s="1"/>
  <c r="L1100" i="2"/>
  <c r="L1099" i="2"/>
  <c r="M1099" i="2" s="1"/>
  <c r="L1098" i="2"/>
  <c r="M1098" i="2" s="1"/>
  <c r="N1098" i="2" s="1"/>
  <c r="M1097" i="2"/>
  <c r="L1097" i="2"/>
  <c r="L1096" i="2"/>
  <c r="L1095" i="2"/>
  <c r="M1095" i="2" s="1"/>
  <c r="N1095" i="2" s="1"/>
  <c r="L1094" i="2"/>
  <c r="L1093" i="2"/>
  <c r="M1093" i="2" s="1"/>
  <c r="N1093" i="2" s="1"/>
  <c r="L1092" i="2"/>
  <c r="L1091" i="2"/>
  <c r="L1090" i="2"/>
  <c r="M1090" i="2" s="1"/>
  <c r="N1090" i="2" s="1"/>
  <c r="L1089" i="2"/>
  <c r="L1088" i="2"/>
  <c r="L1087" i="2"/>
  <c r="M1087" i="2" s="1"/>
  <c r="N1087" i="2" s="1"/>
  <c r="L1086" i="2"/>
  <c r="L1085" i="2"/>
  <c r="M1085" i="2" s="1"/>
  <c r="N1085" i="2" s="1"/>
  <c r="L1084" i="2"/>
  <c r="M1084" i="2" s="1"/>
  <c r="L1083" i="2"/>
  <c r="M1083" i="2" s="1"/>
  <c r="L1082" i="2"/>
  <c r="M1082" i="2" s="1"/>
  <c r="N1082" i="2" s="1"/>
  <c r="L1081" i="2"/>
  <c r="L1080" i="2"/>
  <c r="M1080" i="2" s="1"/>
  <c r="N1080" i="2" s="1"/>
  <c r="L1079" i="2"/>
  <c r="M1079" i="2" s="1"/>
  <c r="N1079" i="2" s="1"/>
  <c r="L1078" i="2"/>
  <c r="L1077" i="2"/>
  <c r="M1077" i="2" s="1"/>
  <c r="N1077" i="2" s="1"/>
  <c r="L1076" i="2"/>
  <c r="M1076" i="2" s="1"/>
  <c r="L1075" i="2"/>
  <c r="M1075" i="2" s="1"/>
  <c r="L1074" i="2"/>
  <c r="M1074" i="2" s="1"/>
  <c r="N1074" i="2" s="1"/>
  <c r="L1073" i="2"/>
  <c r="M1073" i="2" s="1"/>
  <c r="L1072" i="2"/>
  <c r="L1071" i="2"/>
  <c r="M1071" i="2" s="1"/>
  <c r="N1071" i="2" s="1"/>
  <c r="L1070" i="2"/>
  <c r="L1069" i="2"/>
  <c r="M1069" i="2" s="1"/>
  <c r="N1069" i="2" s="1"/>
  <c r="L1068" i="2"/>
  <c r="L1067" i="2"/>
  <c r="M1067" i="2" s="1"/>
  <c r="L1066" i="2"/>
  <c r="L1065" i="2"/>
  <c r="M1065" i="2" s="1"/>
  <c r="L1064" i="2"/>
  <c r="M1064" i="2" s="1"/>
  <c r="N1064" i="2" s="1"/>
  <c r="M1063" i="2"/>
  <c r="N1063" i="2" s="1"/>
  <c r="L1063" i="2"/>
  <c r="L1062" i="2"/>
  <c r="M1062" i="2" s="1"/>
  <c r="L1061" i="2"/>
  <c r="L1060" i="2"/>
  <c r="L1059" i="2"/>
  <c r="L1058" i="2"/>
  <c r="L1057" i="2"/>
  <c r="L1056" i="2"/>
  <c r="L1055" i="2"/>
  <c r="M1055" i="2" s="1"/>
  <c r="N1055" i="2" s="1"/>
  <c r="L1054" i="2"/>
  <c r="L1053" i="2"/>
  <c r="L1052" i="2"/>
  <c r="L1051" i="2"/>
  <c r="M1051" i="2" s="1"/>
  <c r="L1050" i="2"/>
  <c r="M1050" i="2" s="1"/>
  <c r="L1049" i="2"/>
  <c r="M1049" i="2" s="1"/>
  <c r="L1048" i="2"/>
  <c r="M1048" i="2" s="1"/>
  <c r="N1048" i="2" s="1"/>
  <c r="L1047" i="2"/>
  <c r="L1046" i="2"/>
  <c r="M1046" i="2" s="1"/>
  <c r="L1045" i="2"/>
  <c r="M1045" i="2" s="1"/>
  <c r="N1045" i="2" s="1"/>
  <c r="N1044" i="2"/>
  <c r="L1044" i="2"/>
  <c r="M1044" i="2" s="1"/>
  <c r="L1043" i="2"/>
  <c r="L1042" i="2"/>
  <c r="M1042" i="2" s="1"/>
  <c r="N1042" i="2" s="1"/>
  <c r="L1041" i="2"/>
  <c r="L1040" i="2"/>
  <c r="M1040" i="2" s="1"/>
  <c r="L1039" i="2"/>
  <c r="M1039" i="2" s="1"/>
  <c r="N1039" i="2" s="1"/>
  <c r="L1038" i="2"/>
  <c r="L1037" i="2"/>
  <c r="L1036" i="2"/>
  <c r="M1036" i="2" s="1"/>
  <c r="L1035" i="2"/>
  <c r="M1035" i="2" s="1"/>
  <c r="L1034" i="2"/>
  <c r="L1033" i="2"/>
  <c r="L1032" i="2"/>
  <c r="M1032" i="2" s="1"/>
  <c r="N1032" i="2" s="1"/>
  <c r="L1031" i="2"/>
  <c r="M1031" i="2" s="1"/>
  <c r="N1031" i="2" s="1"/>
  <c r="L1030" i="2"/>
  <c r="L1029" i="2"/>
  <c r="M1029" i="2" s="1"/>
  <c r="N1029" i="2" s="1"/>
  <c r="L1028" i="2"/>
  <c r="M1028" i="2" s="1"/>
  <c r="L1027" i="2"/>
  <c r="L1026" i="2"/>
  <c r="M1026" i="2" s="1"/>
  <c r="N1026" i="2" s="1"/>
  <c r="L1025" i="2"/>
  <c r="L1024" i="2"/>
  <c r="L1023" i="2"/>
  <c r="L1022" i="2"/>
  <c r="L1021" i="2"/>
  <c r="M1021" i="2" s="1"/>
  <c r="N1021" i="2" s="1"/>
  <c r="L1020" i="2"/>
  <c r="L1019" i="2"/>
  <c r="M1019" i="2" s="1"/>
  <c r="L1018" i="2"/>
  <c r="L1017" i="2"/>
  <c r="L1016" i="2"/>
  <c r="M1016" i="2" s="1"/>
  <c r="N1016" i="2" s="1"/>
  <c r="L1015" i="2"/>
  <c r="M1015" i="2" s="1"/>
  <c r="N1015" i="2" s="1"/>
  <c r="L1014" i="2"/>
  <c r="L1013" i="2"/>
  <c r="M1013" i="2" s="1"/>
  <c r="N1013" i="2" s="1"/>
  <c r="L1012" i="2"/>
  <c r="M1012" i="2" s="1"/>
  <c r="L1011" i="2"/>
  <c r="M1011" i="2" s="1"/>
  <c r="L1010" i="2"/>
  <c r="M1010" i="2" s="1"/>
  <c r="L1009" i="2"/>
  <c r="L1008" i="2"/>
  <c r="M1008" i="2" s="1"/>
  <c r="N1008" i="2" s="1"/>
  <c r="L1007" i="2"/>
  <c r="M1007" i="2" s="1"/>
  <c r="N1007" i="2" s="1"/>
  <c r="L1006" i="2"/>
  <c r="L1005" i="2"/>
  <c r="M1005" i="2" s="1"/>
  <c r="L1004" i="2"/>
  <c r="L1003" i="2"/>
  <c r="M1003" i="2" s="1"/>
  <c r="L1002" i="2"/>
  <c r="L1001" i="2"/>
  <c r="M1001" i="2" s="1"/>
  <c r="L1000" i="2"/>
  <c r="M1000" i="2" s="1"/>
  <c r="N1000" i="2" s="1"/>
  <c r="L999" i="2"/>
  <c r="M999" i="2" s="1"/>
  <c r="N999" i="2" s="1"/>
  <c r="L998" i="2"/>
  <c r="M998" i="2" s="1"/>
  <c r="L997" i="2"/>
  <c r="M997" i="2" s="1"/>
  <c r="N997" i="2" s="1"/>
  <c r="L996" i="2"/>
  <c r="L995" i="2"/>
  <c r="M995" i="2" s="1"/>
  <c r="L994" i="2"/>
  <c r="M994" i="2" s="1"/>
  <c r="L993" i="2"/>
  <c r="M993" i="2" s="1"/>
  <c r="L992" i="2"/>
  <c r="L991" i="2"/>
  <c r="M991" i="2" s="1"/>
  <c r="N991" i="2" s="1"/>
  <c r="L990" i="2"/>
  <c r="L989" i="2"/>
  <c r="M989" i="2" s="1"/>
  <c r="N989" i="2" s="1"/>
  <c r="L988" i="2"/>
  <c r="M988" i="2" s="1"/>
  <c r="L987" i="2"/>
  <c r="M987" i="2" s="1"/>
  <c r="L986" i="2"/>
  <c r="M986" i="2" s="1"/>
  <c r="N986" i="2" s="1"/>
  <c r="L985" i="2"/>
  <c r="L984" i="2"/>
  <c r="M984" i="2" s="1"/>
  <c r="N984" i="2" s="1"/>
  <c r="L983" i="2"/>
  <c r="L982" i="2"/>
  <c r="M982" i="2" s="1"/>
  <c r="L981" i="2"/>
  <c r="M981" i="2" s="1"/>
  <c r="N981" i="2" s="1"/>
  <c r="L980" i="2"/>
  <c r="L979" i="2"/>
  <c r="M979" i="2" s="1"/>
  <c r="L978" i="2"/>
  <c r="M978" i="2" s="1"/>
  <c r="L977" i="2"/>
  <c r="L976" i="2"/>
  <c r="M976" i="2" s="1"/>
  <c r="L975" i="2"/>
  <c r="M975" i="2" s="1"/>
  <c r="L974" i="2"/>
  <c r="L973" i="2"/>
  <c r="L972" i="2"/>
  <c r="M972" i="2" s="1"/>
  <c r="L971" i="2"/>
  <c r="M971" i="2" s="1"/>
  <c r="L970" i="2"/>
  <c r="M970" i="2" s="1"/>
  <c r="M969" i="2"/>
  <c r="L969" i="2"/>
  <c r="L968" i="2"/>
  <c r="M968" i="2" s="1"/>
  <c r="L967" i="2"/>
  <c r="L966" i="2"/>
  <c r="M966" i="2" s="1"/>
  <c r="L965" i="2"/>
  <c r="L964" i="2"/>
  <c r="M964" i="2" s="1"/>
  <c r="L963" i="2"/>
  <c r="L962" i="2"/>
  <c r="M962" i="2" s="1"/>
  <c r="N962" i="2" s="1"/>
  <c r="L961" i="2"/>
  <c r="L960" i="2"/>
  <c r="L959" i="2"/>
  <c r="M959" i="2" s="1"/>
  <c r="N959" i="2" s="1"/>
  <c r="L958" i="2"/>
  <c r="L957" i="2"/>
  <c r="L956" i="2"/>
  <c r="M956" i="2" s="1"/>
  <c r="L955" i="2"/>
  <c r="M955" i="2" s="1"/>
  <c r="L954" i="2"/>
  <c r="L953" i="2"/>
  <c r="L952" i="2"/>
  <c r="M952" i="2" s="1"/>
  <c r="N952" i="2" s="1"/>
  <c r="L951" i="2"/>
  <c r="M951" i="2" s="1"/>
  <c r="N951" i="2" s="1"/>
  <c r="L950" i="2"/>
  <c r="L949" i="2"/>
  <c r="M949" i="2" s="1"/>
  <c r="N949" i="2" s="1"/>
  <c r="L948" i="2"/>
  <c r="L947" i="2"/>
  <c r="M947" i="2" s="1"/>
  <c r="L946" i="2"/>
  <c r="M946" i="2" s="1"/>
  <c r="L945" i="2"/>
  <c r="L944" i="2"/>
  <c r="M944" i="2" s="1"/>
  <c r="N944" i="2" s="1"/>
  <c r="L943" i="2"/>
  <c r="L942" i="2"/>
  <c r="M941" i="2"/>
  <c r="L941" i="2"/>
  <c r="L940" i="2"/>
  <c r="L939" i="2"/>
  <c r="M939" i="2" s="1"/>
  <c r="L938" i="2"/>
  <c r="L937" i="2"/>
  <c r="M937" i="2" s="1"/>
  <c r="L936" i="2"/>
  <c r="M936" i="2" s="1"/>
  <c r="N936" i="2" s="1"/>
  <c r="L935" i="2"/>
  <c r="M935" i="2" s="1"/>
  <c r="N935" i="2" s="1"/>
  <c r="L934" i="2"/>
  <c r="L933" i="2"/>
  <c r="L932" i="2"/>
  <c r="L931" i="2"/>
  <c r="M931" i="2" s="1"/>
  <c r="L930" i="2"/>
  <c r="M930" i="2" s="1"/>
  <c r="L929" i="2"/>
  <c r="M929" i="2" s="1"/>
  <c r="L928" i="2"/>
  <c r="M928" i="2" s="1"/>
  <c r="N928" i="2" s="1"/>
  <c r="L927" i="2"/>
  <c r="M927" i="2" s="1"/>
  <c r="N927" i="2" s="1"/>
  <c r="L926" i="2"/>
  <c r="L925" i="2"/>
  <c r="M925" i="2" s="1"/>
  <c r="L924" i="2"/>
  <c r="M924" i="2" s="1"/>
  <c r="L923" i="2"/>
  <c r="L922" i="2"/>
  <c r="M922" i="2" s="1"/>
  <c r="L921" i="2"/>
  <c r="M921" i="2" s="1"/>
  <c r="L920" i="2"/>
  <c r="L919" i="2"/>
  <c r="M919" i="2" s="1"/>
  <c r="N919" i="2" s="1"/>
  <c r="L918" i="2"/>
  <c r="M918" i="2" s="1"/>
  <c r="L917" i="2"/>
  <c r="L916" i="2"/>
  <c r="M916" i="2" s="1"/>
  <c r="L915" i="2"/>
  <c r="M915" i="2" s="1"/>
  <c r="L914" i="2"/>
  <c r="L913" i="2"/>
  <c r="L912" i="2"/>
  <c r="M912" i="2" s="1"/>
  <c r="L911" i="2"/>
  <c r="M911" i="2" s="1"/>
  <c r="N911" i="2" s="1"/>
  <c r="L910" i="2"/>
  <c r="L909" i="2"/>
  <c r="L908" i="2"/>
  <c r="M908" i="2" s="1"/>
  <c r="M907" i="2"/>
  <c r="L907" i="2"/>
  <c r="L906" i="2"/>
  <c r="L905" i="2"/>
  <c r="M905" i="2" s="1"/>
  <c r="L904" i="2"/>
  <c r="M904" i="2" s="1"/>
  <c r="L903" i="2"/>
  <c r="L902" i="2"/>
  <c r="M902" i="2" s="1"/>
  <c r="L901" i="2"/>
  <c r="M901" i="2" s="1"/>
  <c r="L900" i="2"/>
  <c r="M900" i="2" s="1"/>
  <c r="L899" i="2"/>
  <c r="L898" i="2"/>
  <c r="L897" i="2"/>
  <c r="M897" i="2" s="1"/>
  <c r="L896" i="2"/>
  <c r="M896" i="2" s="1"/>
  <c r="L895" i="2"/>
  <c r="L894" i="2"/>
  <c r="L893" i="2"/>
  <c r="M893" i="2" s="1"/>
  <c r="N893" i="2" s="1"/>
  <c r="L892" i="2"/>
  <c r="L891" i="2"/>
  <c r="L890" i="2"/>
  <c r="L889" i="2"/>
  <c r="L888" i="2"/>
  <c r="L887" i="2"/>
  <c r="M887" i="2" s="1"/>
  <c r="N887" i="2" s="1"/>
  <c r="L886" i="2"/>
  <c r="M886" i="2" s="1"/>
  <c r="L885" i="2"/>
  <c r="L884" i="2"/>
  <c r="L883" i="2"/>
  <c r="M882" i="2"/>
  <c r="L882" i="2"/>
  <c r="L881" i="2"/>
  <c r="M881" i="2" s="1"/>
  <c r="L880" i="2"/>
  <c r="M880" i="2" s="1"/>
  <c r="N880" i="2" s="1"/>
  <c r="L879" i="2"/>
  <c r="M879" i="2" s="1"/>
  <c r="N879" i="2" s="1"/>
  <c r="L878" i="2"/>
  <c r="M878" i="2" s="1"/>
  <c r="N878" i="2" s="1"/>
  <c r="L877" i="2"/>
  <c r="M877" i="2" s="1"/>
  <c r="N877" i="2" s="1"/>
  <c r="L876" i="2"/>
  <c r="M876" i="2" s="1"/>
  <c r="M875" i="2"/>
  <c r="N875" i="2" s="1"/>
  <c r="L875" i="2"/>
  <c r="L874" i="2"/>
  <c r="M874" i="2" s="1"/>
  <c r="N874" i="2" s="1"/>
  <c r="L873" i="2"/>
  <c r="M873" i="2" s="1"/>
  <c r="N873" i="2" s="1"/>
  <c r="L872" i="2"/>
  <c r="L871" i="2"/>
  <c r="M871" i="2" s="1"/>
  <c r="L870" i="2"/>
  <c r="M870" i="2" s="1"/>
  <c r="N870" i="2" s="1"/>
  <c r="L869" i="2"/>
  <c r="L868" i="2"/>
  <c r="L867" i="2"/>
  <c r="L866" i="2"/>
  <c r="L865" i="2"/>
  <c r="M865" i="2" s="1"/>
  <c r="N865" i="2" s="1"/>
  <c r="L864" i="2"/>
  <c r="L863" i="2"/>
  <c r="L862" i="2"/>
  <c r="M862" i="2" s="1"/>
  <c r="L861" i="2"/>
  <c r="L860" i="2"/>
  <c r="L859" i="2"/>
  <c r="L858" i="2"/>
  <c r="M858" i="2" s="1"/>
  <c r="N858" i="2" s="1"/>
  <c r="L857" i="2"/>
  <c r="L856" i="2"/>
  <c r="L855" i="2"/>
  <c r="M855" i="2" s="1"/>
  <c r="L854" i="2"/>
  <c r="M854" i="2" s="1"/>
  <c r="L853" i="2"/>
  <c r="L852" i="2"/>
  <c r="M852" i="2" s="1"/>
  <c r="L851" i="2"/>
  <c r="M851" i="2" s="1"/>
  <c r="L850" i="2"/>
  <c r="L849" i="2"/>
  <c r="M849" i="2" s="1"/>
  <c r="L848" i="2"/>
  <c r="M848" i="2" s="1"/>
  <c r="L847" i="2"/>
  <c r="M847" i="2" s="1"/>
  <c r="L846" i="2"/>
  <c r="M846" i="2" s="1"/>
  <c r="N846" i="2" s="1"/>
  <c r="L845" i="2"/>
  <c r="M845" i="2" s="1"/>
  <c r="L844" i="2"/>
  <c r="M844" i="2" s="1"/>
  <c r="L843" i="2"/>
  <c r="M843" i="2" s="1"/>
  <c r="N843" i="2" s="1"/>
  <c r="L842" i="2"/>
  <c r="M842" i="2" s="1"/>
  <c r="N842" i="2" s="1"/>
  <c r="L841" i="2"/>
  <c r="M841" i="2" s="1"/>
  <c r="L840" i="2"/>
  <c r="L839" i="2"/>
  <c r="M839" i="2" s="1"/>
  <c r="L838" i="2"/>
  <c r="M838" i="2" s="1"/>
  <c r="N838" i="2" s="1"/>
  <c r="L837" i="2"/>
  <c r="L836" i="2"/>
  <c r="M836" i="2" s="1"/>
  <c r="L835" i="2"/>
  <c r="L834" i="2"/>
  <c r="M834" i="2" s="1"/>
  <c r="N834" i="2" s="1"/>
  <c r="L833" i="2"/>
  <c r="L832" i="2"/>
  <c r="M832" i="2" s="1"/>
  <c r="N832" i="2" s="1"/>
  <c r="L831" i="2"/>
  <c r="L830" i="2"/>
  <c r="M830" i="2" s="1"/>
  <c r="N830" i="2" s="1"/>
  <c r="L829" i="2"/>
  <c r="M829" i="2" s="1"/>
  <c r="L828" i="2"/>
  <c r="L827" i="2"/>
  <c r="L826" i="2"/>
  <c r="L825" i="2"/>
  <c r="M825" i="2" s="1"/>
  <c r="L824" i="2"/>
  <c r="M824" i="2" s="1"/>
  <c r="N823" i="2"/>
  <c r="L823" i="2"/>
  <c r="M823" i="2" s="1"/>
  <c r="L822" i="2"/>
  <c r="L821" i="2"/>
  <c r="L820" i="2"/>
  <c r="M820" i="2" s="1"/>
  <c r="L819" i="2"/>
  <c r="L818" i="2"/>
  <c r="L817" i="2"/>
  <c r="M817" i="2" s="1"/>
  <c r="N817" i="2" s="1"/>
  <c r="L816" i="2"/>
  <c r="M816" i="2" s="1"/>
  <c r="N816" i="2" s="1"/>
  <c r="L815" i="2"/>
  <c r="L814" i="2"/>
  <c r="M814" i="2" s="1"/>
  <c r="N814" i="2" s="1"/>
  <c r="L813" i="2"/>
  <c r="L812" i="2"/>
  <c r="L811" i="2"/>
  <c r="L810" i="2"/>
  <c r="M810" i="2" s="1"/>
  <c r="N810" i="2" s="1"/>
  <c r="L809" i="2"/>
  <c r="M809" i="2" s="1"/>
  <c r="L808" i="2"/>
  <c r="M808" i="2" s="1"/>
  <c r="L807" i="2"/>
  <c r="L806" i="2"/>
  <c r="M806" i="2" s="1"/>
  <c r="L805" i="2"/>
  <c r="M805" i="2" s="1"/>
  <c r="L804" i="2"/>
  <c r="M804" i="2" s="1"/>
  <c r="L803" i="2"/>
  <c r="M803" i="2" s="1"/>
  <c r="N803" i="2" s="1"/>
  <c r="L802" i="2"/>
  <c r="M802" i="2" s="1"/>
  <c r="N802" i="2" s="1"/>
  <c r="L801" i="2"/>
  <c r="M801" i="2" s="1"/>
  <c r="N801" i="2" s="1"/>
  <c r="L800" i="2"/>
  <c r="M800" i="2" s="1"/>
  <c r="L799" i="2"/>
  <c r="L798" i="2"/>
  <c r="M798" i="2" s="1"/>
  <c r="L797" i="2"/>
  <c r="M797" i="2" s="1"/>
  <c r="N797" i="2" s="1"/>
  <c r="L796" i="2"/>
  <c r="L795" i="2"/>
  <c r="M795" i="2" s="1"/>
  <c r="N795" i="2" s="1"/>
  <c r="L794" i="2"/>
  <c r="L793" i="2"/>
  <c r="L792" i="2"/>
  <c r="L791" i="2"/>
  <c r="L790" i="2"/>
  <c r="M790" i="2" s="1"/>
  <c r="L789" i="2"/>
  <c r="L788" i="2"/>
  <c r="M788" i="2" s="1"/>
  <c r="L787" i="2"/>
  <c r="M787" i="2" s="1"/>
  <c r="M786" i="2"/>
  <c r="N786" i="2" s="1"/>
  <c r="L786" i="2"/>
  <c r="L785" i="2"/>
  <c r="M785" i="2" s="1"/>
  <c r="N785" i="2" s="1"/>
  <c r="L784" i="2"/>
  <c r="M784" i="2" s="1"/>
  <c r="N784" i="2" s="1"/>
  <c r="L783" i="2"/>
  <c r="L782" i="2"/>
  <c r="M782" i="2" s="1"/>
  <c r="N782" i="2" s="1"/>
  <c r="L781" i="2"/>
  <c r="M781" i="2" s="1"/>
  <c r="N781" i="2" s="1"/>
  <c r="L780" i="2"/>
  <c r="L779" i="2"/>
  <c r="M779" i="2" s="1"/>
  <c r="L778" i="2"/>
  <c r="M778" i="2" s="1"/>
  <c r="N778" i="2" s="1"/>
  <c r="L777" i="2"/>
  <c r="L776" i="2"/>
  <c r="M776" i="2" s="1"/>
  <c r="L775" i="2"/>
  <c r="L774" i="2"/>
  <c r="L773" i="2"/>
  <c r="M773" i="2" s="1"/>
  <c r="L772" i="2"/>
  <c r="L771" i="2"/>
  <c r="L770" i="2"/>
  <c r="L769" i="2"/>
  <c r="L768" i="2"/>
  <c r="L767" i="2"/>
  <c r="L766" i="2"/>
  <c r="M766" i="2" s="1"/>
  <c r="L765" i="2"/>
  <c r="M765" i="2" s="1"/>
  <c r="L764" i="2"/>
  <c r="L763" i="2"/>
  <c r="M763" i="2" s="1"/>
  <c r="N763" i="2" s="1"/>
  <c r="L762" i="2"/>
  <c r="M762" i="2" s="1"/>
  <c r="N762" i="2" s="1"/>
  <c r="L761" i="2"/>
  <c r="M761" i="2" s="1"/>
  <c r="L760" i="2"/>
  <c r="M760" i="2" s="1"/>
  <c r="N760" i="2" s="1"/>
  <c r="L759" i="2"/>
  <c r="M759" i="2" s="1"/>
  <c r="L758" i="2"/>
  <c r="L757" i="2"/>
  <c r="M757" i="2" s="1"/>
  <c r="L756" i="2"/>
  <c r="L755" i="2"/>
  <c r="M755" i="2" s="1"/>
  <c r="L754" i="2"/>
  <c r="L753" i="2"/>
  <c r="L752" i="2"/>
  <c r="L751" i="2"/>
  <c r="M751" i="2" s="1"/>
  <c r="L750" i="2"/>
  <c r="M750" i="2" s="1"/>
  <c r="N750" i="2" s="1"/>
  <c r="L749" i="2"/>
  <c r="L748" i="2"/>
  <c r="M748" i="2" s="1"/>
  <c r="L747" i="2"/>
  <c r="M747" i="2" s="1"/>
  <c r="M746" i="2"/>
  <c r="N746" i="2" s="1"/>
  <c r="L746" i="2"/>
  <c r="L745" i="2"/>
  <c r="L744" i="2"/>
  <c r="L743" i="2"/>
  <c r="M743" i="2" s="1"/>
  <c r="L742" i="2"/>
  <c r="N741" i="2"/>
  <c r="L741" i="2"/>
  <c r="M741" i="2" s="1"/>
  <c r="L740" i="2"/>
  <c r="M740" i="2" s="1"/>
  <c r="L739" i="2"/>
  <c r="L738" i="2"/>
  <c r="L737" i="2"/>
  <c r="M737" i="2" s="1"/>
  <c r="N737" i="2" s="1"/>
  <c r="L736" i="2"/>
  <c r="L735" i="2"/>
  <c r="L734" i="2"/>
  <c r="M734" i="2" s="1"/>
  <c r="L733" i="2"/>
  <c r="L732" i="2"/>
  <c r="L731" i="2"/>
  <c r="M731" i="2" s="1"/>
  <c r="L730" i="2"/>
  <c r="L729" i="2"/>
  <c r="L728" i="2"/>
  <c r="M728" i="2" s="1"/>
  <c r="N728" i="2" s="1"/>
  <c r="M727" i="2"/>
  <c r="N727" i="2" s="1"/>
  <c r="L727" i="2"/>
  <c r="L726" i="2"/>
  <c r="L725" i="2"/>
  <c r="L724" i="2"/>
  <c r="L723" i="2"/>
  <c r="M723" i="2" s="1"/>
  <c r="N723" i="2" s="1"/>
  <c r="L722" i="2"/>
  <c r="L721" i="2"/>
  <c r="L720" i="2"/>
  <c r="M720" i="2" s="1"/>
  <c r="N720" i="2" s="1"/>
  <c r="L719" i="2"/>
  <c r="M719" i="2" s="1"/>
  <c r="N719" i="2" s="1"/>
  <c r="L718" i="2"/>
  <c r="M718" i="2" s="1"/>
  <c r="L717" i="2"/>
  <c r="M717" i="2" s="1"/>
  <c r="N717" i="2" s="1"/>
  <c r="L716" i="2"/>
  <c r="L715" i="2"/>
  <c r="L714" i="2"/>
  <c r="M714" i="2" s="1"/>
  <c r="L713" i="2"/>
  <c r="M713" i="2" s="1"/>
  <c r="N713" i="2" s="1"/>
  <c r="L712" i="2"/>
  <c r="M712" i="2" s="1"/>
  <c r="L711" i="2"/>
  <c r="M711" i="2" s="1"/>
  <c r="N711" i="2" s="1"/>
  <c r="L710" i="2"/>
  <c r="L709" i="2"/>
  <c r="M709" i="2" s="1"/>
  <c r="N709" i="2" s="1"/>
  <c r="L708" i="2"/>
  <c r="M708" i="2" s="1"/>
  <c r="N708" i="2" s="1"/>
  <c r="L707" i="2"/>
  <c r="L706" i="2"/>
  <c r="L705" i="2"/>
  <c r="M705" i="2" s="1"/>
  <c r="N705" i="2" s="1"/>
  <c r="L704" i="2"/>
  <c r="M704" i="2" s="1"/>
  <c r="L703" i="2"/>
  <c r="M703" i="2" s="1"/>
  <c r="N703" i="2" s="1"/>
  <c r="L702" i="2"/>
  <c r="M702" i="2" s="1"/>
  <c r="L701" i="2"/>
  <c r="M701" i="2" s="1"/>
  <c r="L700" i="2"/>
  <c r="M700" i="2" s="1"/>
  <c r="N700" i="2" s="1"/>
  <c r="L699" i="2"/>
  <c r="M699" i="2" s="1"/>
  <c r="L698" i="2"/>
  <c r="L697" i="2"/>
  <c r="L696" i="2"/>
  <c r="M696" i="2" s="1"/>
  <c r="N696" i="2" s="1"/>
  <c r="L695" i="2"/>
  <c r="M695" i="2" s="1"/>
  <c r="N695" i="2" s="1"/>
  <c r="L694" i="2"/>
  <c r="L693" i="2"/>
  <c r="L692" i="2"/>
  <c r="L691" i="2"/>
  <c r="M691" i="2" s="1"/>
  <c r="L690" i="2"/>
  <c r="M690" i="2" s="1"/>
  <c r="N690" i="2" s="1"/>
  <c r="M689" i="2"/>
  <c r="N689" i="2" s="1"/>
  <c r="L689" i="2"/>
  <c r="L688" i="2"/>
  <c r="M688" i="2" s="1"/>
  <c r="L687" i="2"/>
  <c r="L686" i="2"/>
  <c r="L685" i="2"/>
  <c r="M685" i="2" s="1"/>
  <c r="L684" i="2"/>
  <c r="L683" i="2"/>
  <c r="N682" i="2"/>
  <c r="L682" i="2"/>
  <c r="M682" i="2" s="1"/>
  <c r="L681" i="2"/>
  <c r="M681" i="2" s="1"/>
  <c r="N681" i="2" s="1"/>
  <c r="L680" i="2"/>
  <c r="M680" i="2" s="1"/>
  <c r="L679" i="2"/>
  <c r="M679" i="2" s="1"/>
  <c r="N679" i="2" s="1"/>
  <c r="L678" i="2"/>
  <c r="L677" i="2"/>
  <c r="M677" i="2" s="1"/>
  <c r="N677" i="2" s="1"/>
  <c r="L676" i="2"/>
  <c r="M676" i="2" s="1"/>
  <c r="N676" i="2" s="1"/>
  <c r="L675" i="2"/>
  <c r="L674" i="2"/>
  <c r="L673" i="2"/>
  <c r="M673" i="2" s="1"/>
  <c r="N673" i="2" s="1"/>
  <c r="L672" i="2"/>
  <c r="M672" i="2" s="1"/>
  <c r="L671" i="2"/>
  <c r="M671" i="2" s="1"/>
  <c r="L670" i="2"/>
  <c r="M670" i="2" s="1"/>
  <c r="L669" i="2"/>
  <c r="L668" i="2"/>
  <c r="M668" i="2" s="1"/>
  <c r="N668" i="2" s="1"/>
  <c r="L667" i="2"/>
  <c r="M667" i="2" s="1"/>
  <c r="L666" i="2"/>
  <c r="M666" i="2" s="1"/>
  <c r="L665" i="2"/>
  <c r="M665" i="2" s="1"/>
  <c r="N665" i="2" s="1"/>
  <c r="L664" i="2"/>
  <c r="M664" i="2" s="1"/>
  <c r="N664" i="2" s="1"/>
  <c r="L663" i="2"/>
  <c r="M663" i="2" s="1"/>
  <c r="N663" i="2" s="1"/>
  <c r="L662" i="2"/>
  <c r="M662" i="2" s="1"/>
  <c r="L661" i="2"/>
  <c r="L660" i="2"/>
  <c r="L659" i="2"/>
  <c r="M659" i="2" s="1"/>
  <c r="L658" i="2"/>
  <c r="M658" i="2" s="1"/>
  <c r="N658" i="2" s="1"/>
  <c r="L657" i="2"/>
  <c r="M657" i="2" s="1"/>
  <c r="N657" i="2" s="1"/>
  <c r="L656" i="2"/>
  <c r="M656" i="2" s="1"/>
  <c r="L655" i="2"/>
  <c r="L654" i="2"/>
  <c r="M654" i="2" s="1"/>
  <c r="L653" i="2"/>
  <c r="M653" i="2" s="1"/>
  <c r="L652" i="2"/>
  <c r="L651" i="2"/>
  <c r="M651" i="2" s="1"/>
  <c r="L650" i="2"/>
  <c r="M650" i="2" s="1"/>
  <c r="L649" i="2"/>
  <c r="M649" i="2" s="1"/>
  <c r="N649" i="2" s="1"/>
  <c r="L648" i="2"/>
  <c r="M648" i="2" s="1"/>
  <c r="L647" i="2"/>
  <c r="M647" i="2" s="1"/>
  <c r="N647" i="2" s="1"/>
  <c r="L646" i="2"/>
  <c r="L645" i="2"/>
  <c r="M645" i="2" s="1"/>
  <c r="N645" i="2" s="1"/>
  <c r="L644" i="2"/>
  <c r="M644" i="2" s="1"/>
  <c r="N644" i="2" s="1"/>
  <c r="L643" i="2"/>
  <c r="L642" i="2"/>
  <c r="M642" i="2" s="1"/>
  <c r="N642" i="2" s="1"/>
  <c r="L641" i="2"/>
  <c r="M641" i="2" s="1"/>
  <c r="N641" i="2" s="1"/>
  <c r="L640" i="2"/>
  <c r="L639" i="2"/>
  <c r="M639" i="2" s="1"/>
  <c r="N639" i="2" s="1"/>
  <c r="L638" i="2"/>
  <c r="M638" i="2" s="1"/>
  <c r="L637" i="2"/>
  <c r="L636" i="2"/>
  <c r="M636" i="2" s="1"/>
  <c r="N636" i="2" s="1"/>
  <c r="L635" i="2"/>
  <c r="M635" i="2" s="1"/>
  <c r="L634" i="2"/>
  <c r="L633" i="2"/>
  <c r="L632" i="2"/>
  <c r="M632" i="2" s="1"/>
  <c r="L631" i="2"/>
  <c r="M631" i="2" s="1"/>
  <c r="N631" i="2" s="1"/>
  <c r="L630" i="2"/>
  <c r="M630" i="2" s="1"/>
  <c r="L629" i="2"/>
  <c r="M629" i="2" s="1"/>
  <c r="L628" i="2"/>
  <c r="L627" i="2"/>
  <c r="M627" i="2" s="1"/>
  <c r="L626" i="2"/>
  <c r="M626" i="2" s="1"/>
  <c r="N626" i="2" s="1"/>
  <c r="L625" i="2"/>
  <c r="L624" i="2"/>
  <c r="M624" i="2" s="1"/>
  <c r="L623" i="2"/>
  <c r="L622" i="2"/>
  <c r="M622" i="2" s="1"/>
  <c r="L621" i="2"/>
  <c r="M621" i="2" s="1"/>
  <c r="L620" i="2"/>
  <c r="L619" i="2"/>
  <c r="L618" i="2"/>
  <c r="L617" i="2"/>
  <c r="M617" i="2" s="1"/>
  <c r="N617" i="2" s="1"/>
  <c r="L616" i="2"/>
  <c r="L615" i="2"/>
  <c r="M615" i="2" s="1"/>
  <c r="N615" i="2" s="1"/>
  <c r="L614" i="2"/>
  <c r="L613" i="2"/>
  <c r="M613" i="2" s="1"/>
  <c r="N613" i="2" s="1"/>
  <c r="L612" i="2"/>
  <c r="M612" i="2" s="1"/>
  <c r="N612" i="2" s="1"/>
  <c r="L611" i="2"/>
  <c r="L610" i="2"/>
  <c r="M610" i="2" s="1"/>
  <c r="N610" i="2" s="1"/>
  <c r="L609" i="2"/>
  <c r="M609" i="2" s="1"/>
  <c r="N609" i="2" s="1"/>
  <c r="L608" i="2"/>
  <c r="M608" i="2" s="1"/>
  <c r="L607" i="2"/>
  <c r="M607" i="2" s="1"/>
  <c r="N607" i="2" s="1"/>
  <c r="L606" i="2"/>
  <c r="L605" i="2"/>
  <c r="L604" i="2"/>
  <c r="M604" i="2" s="1"/>
  <c r="N604" i="2" s="1"/>
  <c r="L603" i="2"/>
  <c r="M603" i="2" s="1"/>
  <c r="L602" i="2"/>
  <c r="M602" i="2" s="1"/>
  <c r="M601" i="2"/>
  <c r="N601" i="2" s="1"/>
  <c r="L601" i="2"/>
  <c r="L600" i="2"/>
  <c r="M600" i="2" s="1"/>
  <c r="N600" i="2" s="1"/>
  <c r="L599" i="2"/>
  <c r="M599" i="2" s="1"/>
  <c r="N599" i="2" s="1"/>
  <c r="L598" i="2"/>
  <c r="L597" i="2"/>
  <c r="M597" i="2" s="1"/>
  <c r="N597" i="2" s="1"/>
  <c r="L596" i="2"/>
  <c r="M596" i="2" s="1"/>
  <c r="N596" i="2" s="1"/>
  <c r="L595" i="2"/>
  <c r="M595" i="2" s="1"/>
  <c r="L594" i="2"/>
  <c r="M594" i="2" s="1"/>
  <c r="N594" i="2" s="1"/>
  <c r="L593" i="2"/>
  <c r="M593" i="2" s="1"/>
  <c r="N593" i="2" s="1"/>
  <c r="L592" i="2"/>
  <c r="M592" i="2" s="1"/>
  <c r="L591" i="2"/>
  <c r="L590" i="2"/>
  <c r="M590" i="2" s="1"/>
  <c r="L589" i="2"/>
  <c r="M589" i="2" s="1"/>
  <c r="L588" i="2"/>
  <c r="L587" i="2"/>
  <c r="M587" i="2" s="1"/>
  <c r="L586" i="2"/>
  <c r="M586" i="2" s="1"/>
  <c r="L585" i="2"/>
  <c r="M585" i="2" s="1"/>
  <c r="N585" i="2" s="1"/>
  <c r="L584" i="2"/>
  <c r="M584" i="2" s="1"/>
  <c r="L583" i="2"/>
  <c r="M583" i="2" s="1"/>
  <c r="N583" i="2" s="1"/>
  <c r="L582" i="2"/>
  <c r="M582" i="2" s="1"/>
  <c r="L581" i="2"/>
  <c r="M581" i="2" s="1"/>
  <c r="N581" i="2" s="1"/>
  <c r="L580" i="2"/>
  <c r="M580" i="2" s="1"/>
  <c r="N580" i="2" s="1"/>
  <c r="L579" i="2"/>
  <c r="M579" i="2" s="1"/>
  <c r="L578" i="2"/>
  <c r="L577" i="2"/>
  <c r="M577" i="2" s="1"/>
  <c r="N577" i="2" s="1"/>
  <c r="M576" i="2"/>
  <c r="L576" i="2"/>
  <c r="L575" i="2"/>
  <c r="M575" i="2" s="1"/>
  <c r="N575" i="2" s="1"/>
  <c r="L574" i="2"/>
  <c r="L573" i="2"/>
  <c r="M573" i="2" s="1"/>
  <c r="L572" i="2"/>
  <c r="L571" i="2"/>
  <c r="M571" i="2" s="1"/>
  <c r="L570" i="2"/>
  <c r="L569" i="2"/>
  <c r="M569" i="2" s="1"/>
  <c r="N569" i="2" s="1"/>
  <c r="L568" i="2"/>
  <c r="M568" i="2" s="1"/>
  <c r="L567" i="2"/>
  <c r="L566" i="2"/>
  <c r="L565" i="2"/>
  <c r="L564" i="2"/>
  <c r="M564" i="2" s="1"/>
  <c r="N564" i="2" s="1"/>
  <c r="L563" i="2"/>
  <c r="L562" i="2"/>
  <c r="L561" i="2"/>
  <c r="M561" i="2" s="1"/>
  <c r="N561" i="2" s="1"/>
  <c r="L560" i="2"/>
  <c r="M560" i="2" s="1"/>
  <c r="N560" i="2" s="1"/>
  <c r="L559" i="2"/>
  <c r="M559" i="2" s="1"/>
  <c r="L558" i="2"/>
  <c r="M558" i="2" s="1"/>
  <c r="L557" i="2"/>
  <c r="L556" i="2"/>
  <c r="L555" i="2"/>
  <c r="M555" i="2" s="1"/>
  <c r="L554" i="2"/>
  <c r="M554" i="2" s="1"/>
  <c r="N554" i="2" s="1"/>
  <c r="L553" i="2"/>
  <c r="M553" i="2" s="1"/>
  <c r="N553" i="2" s="1"/>
  <c r="L552" i="2"/>
  <c r="M552" i="2" s="1"/>
  <c r="N552" i="2" s="1"/>
  <c r="L551" i="2"/>
  <c r="M551" i="2" s="1"/>
  <c r="L550" i="2"/>
  <c r="M550" i="2" s="1"/>
  <c r="L549" i="2"/>
  <c r="M549" i="2" s="1"/>
  <c r="N549" i="2" s="1"/>
  <c r="L548" i="2"/>
  <c r="M548" i="2" s="1"/>
  <c r="N548" i="2" s="1"/>
  <c r="L547" i="2"/>
  <c r="L546" i="2"/>
  <c r="L545" i="2"/>
  <c r="L544" i="2"/>
  <c r="L543" i="2"/>
  <c r="L542" i="2"/>
  <c r="M542" i="2" s="1"/>
  <c r="L541" i="2"/>
  <c r="L540" i="2"/>
  <c r="M540" i="2" s="1"/>
  <c r="L539" i="2"/>
  <c r="M539" i="2" s="1"/>
  <c r="L538" i="2"/>
  <c r="L537" i="2"/>
  <c r="M537" i="2" s="1"/>
  <c r="N537" i="2" s="1"/>
  <c r="L536" i="2"/>
  <c r="M536" i="2" s="1"/>
  <c r="L535" i="2"/>
  <c r="L534" i="2"/>
  <c r="M534" i="2" s="1"/>
  <c r="L533" i="2"/>
  <c r="M533" i="2" s="1"/>
  <c r="L532" i="2"/>
  <c r="M532" i="2" s="1"/>
  <c r="N532" i="2" s="1"/>
  <c r="L531" i="2"/>
  <c r="L530" i="2"/>
  <c r="M530" i="2" s="1"/>
  <c r="L529" i="2"/>
  <c r="M529" i="2" s="1"/>
  <c r="N529" i="2" s="1"/>
  <c r="L528" i="2"/>
  <c r="L527" i="2"/>
  <c r="M527" i="2" s="1"/>
  <c r="L526" i="2"/>
  <c r="M526" i="2" s="1"/>
  <c r="L525" i="2"/>
  <c r="L524" i="2"/>
  <c r="M523" i="2"/>
  <c r="L523" i="2"/>
  <c r="L522" i="2"/>
  <c r="M522" i="2" s="1"/>
  <c r="N522" i="2" s="1"/>
  <c r="M521" i="2"/>
  <c r="N521" i="2" s="1"/>
  <c r="L521" i="2"/>
  <c r="L520" i="2"/>
  <c r="M520" i="2" s="1"/>
  <c r="N520" i="2" s="1"/>
  <c r="L519" i="2"/>
  <c r="M519" i="2" s="1"/>
  <c r="N519" i="2" s="1"/>
  <c r="L518" i="2"/>
  <c r="M518" i="2" s="1"/>
  <c r="L517" i="2"/>
  <c r="L516" i="2"/>
  <c r="M516" i="2" s="1"/>
  <c r="N516" i="2" s="1"/>
  <c r="L515" i="2"/>
  <c r="L514" i="2"/>
  <c r="M514" i="2" s="1"/>
  <c r="L513" i="2"/>
  <c r="L512" i="2"/>
  <c r="M512" i="2" s="1"/>
  <c r="N512" i="2" s="1"/>
  <c r="L511" i="2"/>
  <c r="M511" i="2" s="1"/>
  <c r="N511" i="2" s="1"/>
  <c r="L510" i="2"/>
  <c r="L509" i="2"/>
  <c r="M509" i="2" s="1"/>
  <c r="L508" i="2"/>
  <c r="L507" i="2"/>
  <c r="M507" i="2" s="1"/>
  <c r="L506" i="2"/>
  <c r="M506" i="2" s="1"/>
  <c r="L505" i="2"/>
  <c r="M505" i="2" s="1"/>
  <c r="L504" i="2"/>
  <c r="M504" i="2" s="1"/>
  <c r="L503" i="2"/>
  <c r="L502" i="2"/>
  <c r="L501" i="2"/>
  <c r="L500" i="2"/>
  <c r="L499" i="2"/>
  <c r="L498" i="2"/>
  <c r="M498" i="2" s="1"/>
  <c r="L497" i="2"/>
  <c r="M497" i="2" s="1"/>
  <c r="L496" i="2"/>
  <c r="L495" i="2"/>
  <c r="L494" i="2"/>
  <c r="M494" i="2" s="1"/>
  <c r="N494" i="2" s="1"/>
  <c r="L493" i="2"/>
  <c r="L492" i="2"/>
  <c r="M492" i="2" s="1"/>
  <c r="L491" i="2"/>
  <c r="M491" i="2" s="1"/>
  <c r="L490" i="2"/>
  <c r="M490" i="2" s="1"/>
  <c r="L489" i="2"/>
  <c r="M489" i="2" s="1"/>
  <c r="N489" i="2" s="1"/>
  <c r="L488" i="2"/>
  <c r="M488" i="2" s="1"/>
  <c r="L487" i="2"/>
  <c r="M487" i="2" s="1"/>
  <c r="N487" i="2" s="1"/>
  <c r="L486" i="2"/>
  <c r="L485" i="2"/>
  <c r="M485" i="2" s="1"/>
  <c r="L484" i="2"/>
  <c r="M484" i="2" s="1"/>
  <c r="N484" i="2" s="1"/>
  <c r="L483" i="2"/>
  <c r="L482" i="2"/>
  <c r="M482" i="2" s="1"/>
  <c r="L481" i="2"/>
  <c r="M481" i="2" s="1"/>
  <c r="N481" i="2" s="1"/>
  <c r="L480" i="2"/>
  <c r="M480" i="2" s="1"/>
  <c r="N480" i="2" s="1"/>
  <c r="L479" i="2"/>
  <c r="M479" i="2" s="1"/>
  <c r="N479" i="2" s="1"/>
  <c r="L478" i="2"/>
  <c r="L477" i="2"/>
  <c r="M477" i="2" s="1"/>
  <c r="N477" i="2" s="1"/>
  <c r="L476" i="2"/>
  <c r="M476" i="2" s="1"/>
  <c r="N476" i="2" s="1"/>
  <c r="L475" i="2"/>
  <c r="M475" i="2" s="1"/>
  <c r="L474" i="2"/>
  <c r="M474" i="2" s="1"/>
  <c r="N474" i="2" s="1"/>
  <c r="L473" i="2"/>
  <c r="M473" i="2" s="1"/>
  <c r="N473" i="2" s="1"/>
  <c r="L472" i="2"/>
  <c r="M472" i="2" s="1"/>
  <c r="L471" i="2"/>
  <c r="M471" i="2" s="1"/>
  <c r="N471" i="2" s="1"/>
  <c r="L470" i="2"/>
  <c r="M470" i="2" s="1"/>
  <c r="L469" i="2"/>
  <c r="L468" i="2"/>
  <c r="M468" i="2" s="1"/>
  <c r="N468" i="2" s="1"/>
  <c r="L467" i="2"/>
  <c r="L466" i="2"/>
  <c r="L465" i="2"/>
  <c r="L464" i="2"/>
  <c r="M464" i="2" s="1"/>
  <c r="L463" i="2"/>
  <c r="M463" i="2" s="1"/>
  <c r="L462" i="2"/>
  <c r="M462" i="2" s="1"/>
  <c r="L461" i="2"/>
  <c r="M461" i="2" s="1"/>
  <c r="N461" i="2" s="1"/>
  <c r="L460" i="2"/>
  <c r="M460" i="2" s="1"/>
  <c r="L459" i="2"/>
  <c r="L458" i="2"/>
  <c r="M458" i="2" s="1"/>
  <c r="N458" i="2" s="1"/>
  <c r="L457" i="2"/>
  <c r="M457" i="2" s="1"/>
  <c r="N457" i="2" s="1"/>
  <c r="L456" i="2"/>
  <c r="L455" i="2"/>
  <c r="M455" i="2" s="1"/>
  <c r="N455" i="2" s="1"/>
  <c r="L454" i="2"/>
  <c r="M454" i="2" s="1"/>
  <c r="L453" i="2"/>
  <c r="M452" i="2"/>
  <c r="N452" i="2" s="1"/>
  <c r="L452" i="2"/>
  <c r="L451" i="2"/>
  <c r="L450" i="2"/>
  <c r="L449" i="2"/>
  <c r="M449" i="2" s="1"/>
  <c r="N449" i="2" s="1"/>
  <c r="L448" i="2"/>
  <c r="M448" i="2" s="1"/>
  <c r="L447" i="2"/>
  <c r="L446" i="2"/>
  <c r="L445" i="2"/>
  <c r="L444" i="2"/>
  <c r="L443" i="2"/>
  <c r="M443" i="2" s="1"/>
  <c r="L442" i="2"/>
  <c r="M442" i="2" s="1"/>
  <c r="L441" i="2"/>
  <c r="M441" i="2" s="1"/>
  <c r="N441" i="2" s="1"/>
  <c r="L440" i="2"/>
  <c r="M440" i="2" s="1"/>
  <c r="L439" i="2"/>
  <c r="L438" i="2"/>
  <c r="L437" i="2"/>
  <c r="M437" i="2" s="1"/>
  <c r="L436" i="2"/>
  <c r="M436" i="2" s="1"/>
  <c r="N436" i="2" s="1"/>
  <c r="L435" i="2"/>
  <c r="M435" i="2" s="1"/>
  <c r="L434" i="2"/>
  <c r="M434" i="2" s="1"/>
  <c r="L433" i="2"/>
  <c r="M433" i="2" s="1"/>
  <c r="N433" i="2" s="1"/>
  <c r="L432" i="2"/>
  <c r="M432" i="2" s="1"/>
  <c r="N432" i="2" s="1"/>
  <c r="L431" i="2"/>
  <c r="M431" i="2" s="1"/>
  <c r="L430" i="2"/>
  <c r="M430" i="2" s="1"/>
  <c r="L429" i="2"/>
  <c r="L428" i="2"/>
  <c r="L427" i="2"/>
  <c r="L426" i="2"/>
  <c r="M426" i="2" s="1"/>
  <c r="N426" i="2" s="1"/>
  <c r="L425" i="2"/>
  <c r="M425" i="2" s="1"/>
  <c r="N425" i="2" s="1"/>
  <c r="L424" i="2"/>
  <c r="M424" i="2" s="1"/>
  <c r="N424" i="2" s="1"/>
  <c r="L423" i="2"/>
  <c r="L422" i="2"/>
  <c r="M422" i="2" s="1"/>
  <c r="L421" i="2"/>
  <c r="M421" i="2" s="1"/>
  <c r="N421" i="2" s="1"/>
  <c r="L420" i="2"/>
  <c r="M420" i="2" s="1"/>
  <c r="L419" i="2"/>
  <c r="M419" i="2" s="1"/>
  <c r="L418" i="2"/>
  <c r="M418" i="2" s="1"/>
  <c r="N418" i="2" s="1"/>
  <c r="L417" i="2"/>
  <c r="M417" i="2" s="1"/>
  <c r="N417" i="2" s="1"/>
  <c r="L416" i="2"/>
  <c r="L415" i="2"/>
  <c r="L414" i="2"/>
  <c r="L413" i="2"/>
  <c r="L412" i="2"/>
  <c r="M412" i="2" s="1"/>
  <c r="N412" i="2" s="1"/>
  <c r="L411" i="2"/>
  <c r="M411" i="2" s="1"/>
  <c r="L410" i="2"/>
  <c r="L409" i="2"/>
  <c r="M409" i="2" s="1"/>
  <c r="N409" i="2" s="1"/>
  <c r="L408" i="2"/>
  <c r="M408" i="2" s="1"/>
  <c r="L407" i="2"/>
  <c r="L406" i="2"/>
  <c r="M406" i="2" s="1"/>
  <c r="L405" i="2"/>
  <c r="L404" i="2"/>
  <c r="M404" i="2" s="1"/>
  <c r="N404" i="2" s="1"/>
  <c r="L403" i="2"/>
  <c r="L402" i="2"/>
  <c r="L401" i="2"/>
  <c r="M401" i="2" s="1"/>
  <c r="N401" i="2" s="1"/>
  <c r="L400" i="2"/>
  <c r="M400" i="2" s="1"/>
  <c r="L399" i="2"/>
  <c r="L398" i="2"/>
  <c r="M398" i="2" s="1"/>
  <c r="L397" i="2"/>
  <c r="L396" i="2"/>
  <c r="M396" i="2" s="1"/>
  <c r="L395" i="2"/>
  <c r="M395" i="2" s="1"/>
  <c r="L394" i="2"/>
  <c r="L393" i="2"/>
  <c r="M393" i="2" s="1"/>
  <c r="N393" i="2" s="1"/>
  <c r="M392" i="2"/>
  <c r="N392" i="2" s="1"/>
  <c r="L392" i="2"/>
  <c r="L391" i="2"/>
  <c r="L390" i="2"/>
  <c r="M390" i="2" s="1"/>
  <c r="L389" i="2"/>
  <c r="M389" i="2" s="1"/>
  <c r="N389" i="2" s="1"/>
  <c r="L388" i="2"/>
  <c r="L387" i="2"/>
  <c r="L386" i="2"/>
  <c r="M386" i="2" s="1"/>
  <c r="N386" i="2" s="1"/>
  <c r="L385" i="2"/>
  <c r="L384" i="2"/>
  <c r="L383" i="2"/>
  <c r="M383" i="2" s="1"/>
  <c r="N383" i="2" s="1"/>
  <c r="L382" i="2"/>
  <c r="M382" i="2" s="1"/>
  <c r="L381" i="2"/>
  <c r="M381" i="2" s="1"/>
  <c r="N381" i="2" s="1"/>
  <c r="L380" i="2"/>
  <c r="M380" i="2" s="1"/>
  <c r="N380" i="2" s="1"/>
  <c r="L379" i="2"/>
  <c r="M379" i="2" s="1"/>
  <c r="L378" i="2"/>
  <c r="M378" i="2" s="1"/>
  <c r="N378" i="2" s="1"/>
  <c r="L377" i="2"/>
  <c r="M377" i="2" s="1"/>
  <c r="N377" i="2" s="1"/>
  <c r="L376" i="2"/>
  <c r="L375" i="2"/>
  <c r="M375" i="2" s="1"/>
  <c r="N375" i="2" s="1"/>
  <c r="L374" i="2"/>
  <c r="L373" i="2"/>
  <c r="M373" i="2" s="1"/>
  <c r="L372" i="2"/>
  <c r="L371" i="2"/>
  <c r="M371" i="2" s="1"/>
  <c r="L370" i="2"/>
  <c r="M370" i="2" s="1"/>
  <c r="L369" i="2"/>
  <c r="M369" i="2" s="1"/>
  <c r="L368" i="2"/>
  <c r="L367" i="2"/>
  <c r="L366" i="2"/>
  <c r="M366" i="2" s="1"/>
  <c r="L365" i="2"/>
  <c r="M365" i="2" s="1"/>
  <c r="N365" i="2" s="1"/>
  <c r="L364" i="2"/>
  <c r="M364" i="2" s="1"/>
  <c r="N364" i="2" s="1"/>
  <c r="L363" i="2"/>
  <c r="M363" i="2" s="1"/>
  <c r="L362" i="2"/>
  <c r="M362" i="2" s="1"/>
  <c r="L361" i="2"/>
  <c r="M361" i="2" s="1"/>
  <c r="N361" i="2" s="1"/>
  <c r="L360" i="2"/>
  <c r="L359" i="2"/>
  <c r="L358" i="2"/>
  <c r="L357" i="2"/>
  <c r="L356" i="2"/>
  <c r="L355" i="2"/>
  <c r="L354" i="2"/>
  <c r="L353" i="2"/>
  <c r="M353" i="2" s="1"/>
  <c r="N353" i="2" s="1"/>
  <c r="L352" i="2"/>
  <c r="L351" i="2"/>
  <c r="M351" i="2" s="1"/>
  <c r="N351" i="2" s="1"/>
  <c r="L350" i="2"/>
  <c r="M350" i="2" s="1"/>
  <c r="L349" i="2"/>
  <c r="L348" i="2"/>
  <c r="M348" i="2" s="1"/>
  <c r="N348" i="2" s="1"/>
  <c r="L347" i="2"/>
  <c r="L346" i="2"/>
  <c r="L345" i="2"/>
  <c r="M345" i="2" s="1"/>
  <c r="N345" i="2" s="1"/>
  <c r="L344" i="2"/>
  <c r="L343" i="2"/>
  <c r="M343" i="2" s="1"/>
  <c r="N343" i="2" s="1"/>
  <c r="L342" i="2"/>
  <c r="L341" i="2"/>
  <c r="L340" i="2"/>
  <c r="M340" i="2" s="1"/>
  <c r="N340" i="2" s="1"/>
  <c r="L339" i="2"/>
  <c r="L338" i="2"/>
  <c r="M338" i="2" s="1"/>
  <c r="N338" i="2" s="1"/>
  <c r="L337" i="2"/>
  <c r="M337" i="2" s="1"/>
  <c r="N337" i="2" s="1"/>
  <c r="L336" i="2"/>
  <c r="L335" i="2"/>
  <c r="L334" i="2"/>
  <c r="L333" i="2"/>
  <c r="L332" i="2"/>
  <c r="M332" i="2" s="1"/>
  <c r="N332" i="2" s="1"/>
  <c r="L331" i="2"/>
  <c r="M331" i="2" s="1"/>
  <c r="N331" i="2" s="1"/>
  <c r="L330" i="2"/>
  <c r="M330" i="2" s="1"/>
  <c r="N330" i="2" s="1"/>
  <c r="L329" i="2"/>
  <c r="M329" i="2" s="1"/>
  <c r="N329" i="2" s="1"/>
  <c r="L328" i="2"/>
  <c r="L327" i="2"/>
  <c r="M327" i="2" s="1"/>
  <c r="N327" i="2" s="1"/>
  <c r="L326" i="2"/>
  <c r="M326" i="2" s="1"/>
  <c r="L325" i="2"/>
  <c r="M325" i="2" s="1"/>
  <c r="L324" i="2"/>
  <c r="M324" i="2" s="1"/>
  <c r="N324" i="2" s="1"/>
  <c r="L323" i="2"/>
  <c r="M323" i="2" s="1"/>
  <c r="L322" i="2"/>
  <c r="M322" i="2" s="1"/>
  <c r="L321" i="2"/>
  <c r="M321" i="2" s="1"/>
  <c r="L320" i="2"/>
  <c r="L319" i="2"/>
  <c r="M319" i="2" s="1"/>
  <c r="N319" i="2" s="1"/>
  <c r="L318" i="2"/>
  <c r="M318" i="2" s="1"/>
  <c r="L317" i="2"/>
  <c r="M317" i="2" s="1"/>
  <c r="L316" i="2"/>
  <c r="M316" i="2" s="1"/>
  <c r="N316" i="2" s="1"/>
  <c r="L315" i="2"/>
  <c r="L314" i="2"/>
  <c r="M314" i="2" s="1"/>
  <c r="N314" i="2" s="1"/>
  <c r="L313" i="2"/>
  <c r="M313" i="2" s="1"/>
  <c r="L312" i="2"/>
  <c r="L311" i="2"/>
  <c r="L310" i="2"/>
  <c r="L309" i="2"/>
  <c r="M309" i="2" s="1"/>
  <c r="L308" i="2"/>
  <c r="M308" i="2" s="1"/>
  <c r="N308" i="2" s="1"/>
  <c r="M307" i="2"/>
  <c r="N307" i="2" s="1"/>
  <c r="L307" i="2"/>
  <c r="L306" i="2"/>
  <c r="M306" i="2" s="1"/>
  <c r="N306" i="2" s="1"/>
  <c r="L305" i="2"/>
  <c r="M305" i="2" s="1"/>
  <c r="N305" i="2" s="1"/>
  <c r="L304" i="2"/>
  <c r="L303" i="2"/>
  <c r="L302" i="2"/>
  <c r="L301" i="2"/>
  <c r="L300" i="2"/>
  <c r="L299" i="2"/>
  <c r="L298" i="2"/>
  <c r="M298" i="2" s="1"/>
  <c r="L297" i="2"/>
  <c r="M297" i="2" s="1"/>
  <c r="N297" i="2" s="1"/>
  <c r="L296" i="2"/>
  <c r="L295" i="2"/>
  <c r="L294" i="2"/>
  <c r="M294" i="2" s="1"/>
  <c r="L293" i="2"/>
  <c r="L292" i="2"/>
  <c r="M292" i="2" s="1"/>
  <c r="N292" i="2" s="1"/>
  <c r="L291" i="2"/>
  <c r="M291" i="2" s="1"/>
  <c r="N291" i="2" s="1"/>
  <c r="L290" i="2"/>
  <c r="L289" i="2"/>
  <c r="M289" i="2" s="1"/>
  <c r="N289" i="2" s="1"/>
  <c r="L288" i="2"/>
  <c r="L287" i="2"/>
  <c r="M287" i="2" s="1"/>
  <c r="N287" i="2" s="1"/>
  <c r="M286" i="2"/>
  <c r="L286" i="2"/>
  <c r="L285" i="2"/>
  <c r="L284" i="2"/>
  <c r="M284" i="2" s="1"/>
  <c r="N284" i="2" s="1"/>
  <c r="L283" i="2"/>
  <c r="L282" i="2"/>
  <c r="L281" i="2"/>
  <c r="M281" i="2" s="1"/>
  <c r="N281" i="2" s="1"/>
  <c r="L280" i="2"/>
  <c r="L279" i="2"/>
  <c r="M279" i="2" s="1"/>
  <c r="N279" i="2" s="1"/>
  <c r="L278" i="2"/>
  <c r="L277" i="2"/>
  <c r="L276" i="2"/>
  <c r="M276" i="2" s="1"/>
  <c r="N276" i="2" s="1"/>
  <c r="L275" i="2"/>
  <c r="M275" i="2" s="1"/>
  <c r="L274" i="2"/>
  <c r="M274" i="2" s="1"/>
  <c r="N274" i="2" s="1"/>
  <c r="L273" i="2"/>
  <c r="M273" i="2" s="1"/>
  <c r="N273" i="2" s="1"/>
  <c r="L272" i="2"/>
  <c r="L271" i="2"/>
  <c r="M271" i="2" s="1"/>
  <c r="L270" i="2"/>
  <c r="M270" i="2" s="1"/>
  <c r="L269" i="2"/>
  <c r="L268" i="2"/>
  <c r="M268" i="2" s="1"/>
  <c r="N268" i="2" s="1"/>
  <c r="L267" i="2"/>
  <c r="M266" i="2"/>
  <c r="N266" i="2" s="1"/>
  <c r="L266" i="2"/>
  <c r="L265" i="2"/>
  <c r="M265" i="2" s="1"/>
  <c r="N265" i="2" s="1"/>
  <c r="L264" i="2"/>
  <c r="L263" i="2"/>
  <c r="M263" i="2" s="1"/>
  <c r="N263" i="2" s="1"/>
  <c r="L262" i="2"/>
  <c r="L261" i="2"/>
  <c r="L260" i="2"/>
  <c r="M260" i="2" s="1"/>
  <c r="N260" i="2" s="1"/>
  <c r="L259" i="2"/>
  <c r="L258" i="2"/>
  <c r="M258" i="2" s="1"/>
  <c r="L257" i="2"/>
  <c r="M257" i="2" s="1"/>
  <c r="L256" i="2"/>
  <c r="L255" i="2"/>
  <c r="M255" i="2" s="1"/>
  <c r="N255" i="2" s="1"/>
  <c r="L254" i="2"/>
  <c r="L253" i="2"/>
  <c r="M253" i="2" s="1"/>
  <c r="L252" i="2"/>
  <c r="M252" i="2" s="1"/>
  <c r="N252" i="2" s="1"/>
  <c r="L251" i="2"/>
  <c r="M251" i="2" s="1"/>
  <c r="L250" i="2"/>
  <c r="L249" i="2"/>
  <c r="M249" i="2" s="1"/>
  <c r="L248" i="2"/>
  <c r="L247" i="2"/>
  <c r="L246" i="2"/>
  <c r="M246" i="2" s="1"/>
  <c r="L245" i="2"/>
  <c r="M245" i="2" s="1"/>
  <c r="L244" i="2"/>
  <c r="M244" i="2" s="1"/>
  <c r="N244" i="2" s="1"/>
  <c r="L243" i="2"/>
  <c r="M243" i="2" s="1"/>
  <c r="L242" i="2"/>
  <c r="M242" i="2" s="1"/>
  <c r="N242" i="2" s="1"/>
  <c r="L241" i="2"/>
  <c r="M241" i="2" s="1"/>
  <c r="N241" i="2" s="1"/>
  <c r="L240" i="2"/>
  <c r="L239" i="2"/>
  <c r="L238" i="2"/>
  <c r="L237" i="2"/>
  <c r="L236" i="2"/>
  <c r="M236" i="2" s="1"/>
  <c r="N236" i="2" s="1"/>
  <c r="L235" i="2"/>
  <c r="L234" i="2"/>
  <c r="M234" i="2" s="1"/>
  <c r="L233" i="2"/>
  <c r="M233" i="2" s="1"/>
  <c r="N233" i="2" s="1"/>
  <c r="L232" i="2"/>
  <c r="L231" i="2"/>
  <c r="L230" i="2"/>
  <c r="L229" i="2"/>
  <c r="L228" i="2"/>
  <c r="M228" i="2" s="1"/>
  <c r="N228" i="2" s="1"/>
  <c r="L227" i="2"/>
  <c r="M227" i="2" s="1"/>
  <c r="N227" i="2" s="1"/>
  <c r="L226" i="2"/>
  <c r="L225" i="2"/>
  <c r="M225" i="2" s="1"/>
  <c r="N225" i="2" s="1"/>
  <c r="L224" i="2"/>
  <c r="L223" i="2"/>
  <c r="M223" i="2" s="1"/>
  <c r="N223" i="2" s="1"/>
  <c r="L222" i="2"/>
  <c r="L221" i="2"/>
  <c r="L220" i="2"/>
  <c r="M220" i="2" s="1"/>
  <c r="N220" i="2" s="1"/>
  <c r="M219" i="2"/>
  <c r="N219" i="2" s="1"/>
  <c r="L219" i="2"/>
  <c r="L218" i="2"/>
  <c r="L217" i="2"/>
  <c r="M217" i="2" s="1"/>
  <c r="N217" i="2" s="1"/>
  <c r="L216" i="2"/>
  <c r="L215" i="2"/>
  <c r="M215" i="2" s="1"/>
  <c r="N215" i="2" s="1"/>
  <c r="L214" i="2"/>
  <c r="L213" i="2"/>
  <c r="L212" i="2"/>
  <c r="M212" i="2" s="1"/>
  <c r="N212" i="2" s="1"/>
  <c r="L211" i="2"/>
  <c r="L210" i="2"/>
  <c r="M210" i="2" s="1"/>
  <c r="N210" i="2" s="1"/>
  <c r="L209" i="2"/>
  <c r="M209" i="2" s="1"/>
  <c r="N209" i="2" s="1"/>
  <c r="L208" i="2"/>
  <c r="L207" i="2"/>
  <c r="M207" i="2" s="1"/>
  <c r="L206" i="2"/>
  <c r="L205" i="2"/>
  <c r="L204" i="2"/>
  <c r="M204" i="2" s="1"/>
  <c r="N204" i="2" s="1"/>
  <c r="L203" i="2"/>
  <c r="L202" i="2"/>
  <c r="M202" i="2" s="1"/>
  <c r="N202" i="2" s="1"/>
  <c r="L201" i="2"/>
  <c r="M201" i="2" s="1"/>
  <c r="N201" i="2" s="1"/>
  <c r="L200" i="2"/>
  <c r="L199" i="2"/>
  <c r="M199" i="2" s="1"/>
  <c r="N199" i="2" s="1"/>
  <c r="L198" i="2"/>
  <c r="L197" i="2"/>
  <c r="L196" i="2"/>
  <c r="M196" i="2" s="1"/>
  <c r="N196" i="2" s="1"/>
  <c r="L195" i="2"/>
  <c r="L194" i="2"/>
  <c r="M194" i="2" s="1"/>
  <c r="L193" i="2"/>
  <c r="M193" i="2" s="1"/>
  <c r="L192" i="2"/>
  <c r="L191" i="2"/>
  <c r="M191" i="2" s="1"/>
  <c r="N191" i="2" s="1"/>
  <c r="L190" i="2"/>
  <c r="L189" i="2"/>
  <c r="M189" i="2" s="1"/>
  <c r="L188" i="2"/>
  <c r="M188" i="2" s="1"/>
  <c r="N188" i="2" s="1"/>
  <c r="L187" i="2"/>
  <c r="M187" i="2" s="1"/>
  <c r="N187" i="2" s="1"/>
  <c r="L186" i="2"/>
  <c r="M186" i="2" s="1"/>
  <c r="N186" i="2" s="1"/>
  <c r="L185" i="2"/>
  <c r="M185" i="2" s="1"/>
  <c r="L184" i="2"/>
  <c r="L183" i="2"/>
  <c r="L182" i="2"/>
  <c r="L181" i="2"/>
  <c r="M181" i="2" s="1"/>
  <c r="L180" i="2"/>
  <c r="M180" i="2" s="1"/>
  <c r="N180" i="2" s="1"/>
  <c r="L179" i="2"/>
  <c r="M179" i="2" s="1"/>
  <c r="N179" i="2" s="1"/>
  <c r="L178" i="2"/>
  <c r="M178" i="2" s="1"/>
  <c r="N178" i="2" s="1"/>
  <c r="L177" i="2"/>
  <c r="M177" i="2" s="1"/>
  <c r="N177" i="2" s="1"/>
  <c r="L176" i="2"/>
  <c r="L175" i="2"/>
  <c r="L174" i="2"/>
  <c r="L173" i="2"/>
  <c r="M173" i="2" s="1"/>
  <c r="L172" i="2"/>
  <c r="M171" i="2"/>
  <c r="L171" i="2"/>
  <c r="L170" i="2"/>
  <c r="L169" i="2"/>
  <c r="M169" i="2" s="1"/>
  <c r="L168" i="2"/>
  <c r="L167" i="2"/>
  <c r="L166" i="2"/>
  <c r="L165" i="2"/>
  <c r="M165" i="2" s="1"/>
  <c r="L164" i="2"/>
  <c r="L163" i="2"/>
  <c r="M163" i="2" s="1"/>
  <c r="L162" i="2"/>
  <c r="L161" i="2"/>
  <c r="M161" i="2" s="1"/>
  <c r="N161" i="2" s="1"/>
  <c r="L160" i="2"/>
  <c r="L159" i="2"/>
  <c r="M159" i="2" s="1"/>
  <c r="N159" i="2" s="1"/>
  <c r="L158" i="2"/>
  <c r="M158" i="2" s="1"/>
  <c r="L157" i="2"/>
  <c r="L156" i="2"/>
  <c r="M156" i="2" s="1"/>
  <c r="N156" i="2" s="1"/>
  <c r="L155" i="2"/>
  <c r="M155" i="2" s="1"/>
  <c r="N155" i="2" s="1"/>
  <c r="L154" i="2"/>
  <c r="L153" i="2"/>
  <c r="M153" i="2" s="1"/>
  <c r="L152" i="2"/>
  <c r="L151" i="2"/>
  <c r="M151" i="2" s="1"/>
  <c r="N151" i="2" s="1"/>
  <c r="M150" i="2"/>
  <c r="L150" i="2"/>
  <c r="L149" i="2"/>
  <c r="L148" i="2"/>
  <c r="M148" i="2" s="1"/>
  <c r="L147" i="2"/>
  <c r="M147" i="2" s="1"/>
  <c r="N147" i="2" s="1"/>
  <c r="L146" i="2"/>
  <c r="L145" i="2"/>
  <c r="M145" i="2" s="1"/>
  <c r="L144" i="2"/>
  <c r="L143" i="2"/>
  <c r="L142" i="2"/>
  <c r="L141" i="2"/>
  <c r="M141" i="2" s="1"/>
  <c r="L140" i="2"/>
  <c r="L139" i="2"/>
  <c r="M139" i="2" s="1"/>
  <c r="L138" i="2"/>
  <c r="L137" i="2"/>
  <c r="M137" i="2" s="1"/>
  <c r="L136" i="2"/>
  <c r="L135" i="2"/>
  <c r="M135" i="2" s="1"/>
  <c r="N135" i="2" s="1"/>
  <c r="L134" i="2"/>
  <c r="M134" i="2" s="1"/>
  <c r="L133" i="2"/>
  <c r="L132" i="2"/>
  <c r="M132" i="2" s="1"/>
  <c r="N132" i="2" s="1"/>
  <c r="L131" i="2"/>
  <c r="L130" i="2"/>
  <c r="L129" i="2"/>
  <c r="M129" i="2" s="1"/>
  <c r="L128" i="2"/>
  <c r="L127" i="2"/>
  <c r="M127" i="2" s="1"/>
  <c r="N127" i="2" s="1"/>
  <c r="L126" i="2"/>
  <c r="L125" i="2"/>
  <c r="M125" i="2" s="1"/>
  <c r="L124" i="2"/>
  <c r="M124" i="2" s="1"/>
  <c r="L123" i="2"/>
  <c r="M123" i="2" s="1"/>
  <c r="N123" i="2" s="1"/>
  <c r="L122" i="2"/>
  <c r="M122" i="2" s="1"/>
  <c r="N122" i="2" s="1"/>
  <c r="L121" i="2"/>
  <c r="M121" i="2" s="1"/>
  <c r="L120" i="2"/>
  <c r="L119" i="2"/>
  <c r="M119" i="2" s="1"/>
  <c r="L118" i="2"/>
  <c r="M118" i="2" s="1"/>
  <c r="L117" i="2"/>
  <c r="L116" i="2"/>
  <c r="M116" i="2" s="1"/>
  <c r="N116" i="2" s="1"/>
  <c r="L115" i="2"/>
  <c r="M115" i="2" s="1"/>
  <c r="L114" i="2"/>
  <c r="M114" i="2" s="1"/>
  <c r="N114" i="2" s="1"/>
  <c r="L113" i="2"/>
  <c r="M113" i="2" s="1"/>
  <c r="L112" i="2"/>
  <c r="M111" i="2"/>
  <c r="N111" i="2" s="1"/>
  <c r="L111" i="2"/>
  <c r="L110" i="2"/>
  <c r="M110" i="2" s="1"/>
  <c r="L109" i="2"/>
  <c r="M109" i="2" s="1"/>
  <c r="L108" i="2"/>
  <c r="M108" i="2" s="1"/>
  <c r="N108" i="2" s="1"/>
  <c r="L107" i="2"/>
  <c r="M107" i="2" s="1"/>
  <c r="N107" i="2" s="1"/>
  <c r="L106" i="2"/>
  <c r="M106" i="2" s="1"/>
  <c r="L105" i="2"/>
  <c r="M105" i="2" s="1"/>
  <c r="L104" i="2"/>
  <c r="L103" i="2"/>
  <c r="M103" i="2" s="1"/>
  <c r="N103" i="2" s="1"/>
  <c r="L102" i="2"/>
  <c r="L101" i="2"/>
  <c r="M101" i="2" s="1"/>
  <c r="L100" i="2"/>
  <c r="M100" i="2" s="1"/>
  <c r="N100" i="2" s="1"/>
  <c r="L99" i="2"/>
  <c r="M99" i="2" s="1"/>
  <c r="N99" i="2" s="1"/>
  <c r="L98" i="2"/>
  <c r="L97" i="2"/>
  <c r="M97" i="2" s="1"/>
  <c r="L96" i="2"/>
  <c r="L95" i="2"/>
  <c r="L94" i="2"/>
  <c r="M94" i="2" s="1"/>
  <c r="L93" i="2"/>
  <c r="M93" i="2" s="1"/>
  <c r="L92" i="2"/>
  <c r="M92" i="2" s="1"/>
  <c r="N92" i="2" s="1"/>
  <c r="M91" i="2"/>
  <c r="N91" i="2" s="1"/>
  <c r="L91" i="2"/>
  <c r="L90" i="2"/>
  <c r="M90" i="2" s="1"/>
  <c r="N90" i="2" s="1"/>
  <c r="L89" i="2"/>
  <c r="M89" i="2" s="1"/>
  <c r="L88" i="2"/>
  <c r="L87" i="2"/>
  <c r="L86" i="2"/>
  <c r="L85" i="2"/>
  <c r="M85" i="2" s="1"/>
  <c r="M84" i="2"/>
  <c r="N84" i="2" s="1"/>
  <c r="L84" i="2"/>
  <c r="L83" i="2"/>
  <c r="L82" i="2"/>
  <c r="M82" i="2" s="1"/>
  <c r="L81" i="2"/>
  <c r="M81" i="2" s="1"/>
  <c r="L80" i="2"/>
  <c r="L79" i="2"/>
  <c r="M79" i="2" s="1"/>
  <c r="N79" i="2" s="1"/>
  <c r="L78" i="2"/>
  <c r="L77" i="2"/>
  <c r="M77" i="2" s="1"/>
  <c r="L76" i="2"/>
  <c r="M76" i="2" s="1"/>
  <c r="N76" i="2" s="1"/>
  <c r="L75" i="2"/>
  <c r="M75" i="2" s="1"/>
  <c r="N75" i="2" s="1"/>
  <c r="L74" i="2"/>
  <c r="L73" i="2"/>
  <c r="M73" i="2" s="1"/>
  <c r="L72" i="2"/>
  <c r="L71" i="2"/>
  <c r="L70" i="2"/>
  <c r="M70" i="2" s="1"/>
  <c r="L69" i="2"/>
  <c r="M69" i="2" s="1"/>
  <c r="L68" i="2"/>
  <c r="M68" i="2" s="1"/>
  <c r="N68" i="2" s="1"/>
  <c r="L67" i="2"/>
  <c r="M67" i="2" s="1"/>
  <c r="L66" i="2"/>
  <c r="M66" i="2" s="1"/>
  <c r="N66" i="2" s="1"/>
  <c r="L65" i="2"/>
  <c r="M65" i="2" s="1"/>
  <c r="L64" i="2"/>
  <c r="L63" i="2"/>
  <c r="M62" i="2"/>
  <c r="L62" i="2"/>
  <c r="L61" i="2"/>
  <c r="M61" i="2" s="1"/>
  <c r="L60" i="2"/>
  <c r="M60" i="2" s="1"/>
  <c r="N60" i="2" s="1"/>
  <c r="L59" i="2"/>
  <c r="L58" i="2"/>
  <c r="M58" i="2" s="1"/>
  <c r="L57" i="2"/>
  <c r="L56" i="2"/>
  <c r="L55" i="2"/>
  <c r="M55" i="2" s="1"/>
  <c r="N55" i="2" s="1"/>
  <c r="L54" i="2"/>
  <c r="L53" i="2"/>
  <c r="M53" i="2" s="1"/>
  <c r="L52" i="2"/>
  <c r="M52" i="2" s="1"/>
  <c r="N52" i="2" s="1"/>
  <c r="L51" i="2"/>
  <c r="L50" i="2"/>
  <c r="L49" i="2"/>
  <c r="L48" i="2"/>
  <c r="L47" i="2"/>
  <c r="L46" i="2"/>
  <c r="M46" i="2" s="1"/>
  <c r="L45" i="2"/>
  <c r="M45" i="2" s="1"/>
  <c r="L44" i="2"/>
  <c r="M44" i="2" s="1"/>
  <c r="N44" i="2" s="1"/>
  <c r="L43" i="2"/>
  <c r="M43" i="2" s="1"/>
  <c r="N43" i="2" s="1"/>
  <c r="L42" i="2"/>
  <c r="M42" i="2" s="1"/>
  <c r="N42" i="2" s="1"/>
  <c r="L41" i="2"/>
  <c r="M41" i="2" s="1"/>
  <c r="L40" i="2"/>
  <c r="L39" i="2"/>
  <c r="L38" i="2"/>
  <c r="L37" i="2"/>
  <c r="L36" i="2"/>
  <c r="L35" i="2"/>
  <c r="L34" i="2"/>
  <c r="M34" i="2" s="1"/>
  <c r="L33" i="2"/>
  <c r="M33" i="2" s="1"/>
  <c r="L32" i="2"/>
  <c r="L31" i="2"/>
  <c r="L30" i="2"/>
  <c r="M30" i="2" s="1"/>
  <c r="L29" i="2"/>
  <c r="M29" i="2" s="1"/>
  <c r="M28" i="2"/>
  <c r="N28" i="2" s="1"/>
  <c r="L28" i="2"/>
  <c r="L27" i="2"/>
  <c r="M27" i="2" s="1"/>
  <c r="N27" i="2" s="1"/>
  <c r="L26" i="2"/>
  <c r="L25" i="2"/>
  <c r="M25" i="2" s="1"/>
  <c r="L24" i="2"/>
  <c r="L23" i="2"/>
  <c r="M23" i="2" s="1"/>
  <c r="N23" i="2" s="1"/>
  <c r="L22" i="2"/>
  <c r="M22" i="2" s="1"/>
  <c r="N22" i="2" s="1"/>
  <c r="L21" i="2"/>
  <c r="M21" i="2" s="1"/>
  <c r="L20" i="2"/>
  <c r="M20" i="2" s="1"/>
  <c r="N20" i="2" s="1"/>
  <c r="L19" i="2"/>
  <c r="M19" i="2" s="1"/>
  <c r="N19" i="2" s="1"/>
  <c r="L18" i="2"/>
  <c r="L17" i="2"/>
  <c r="M17" i="2" s="1"/>
  <c r="N17" i="2" s="1"/>
  <c r="L16" i="2"/>
  <c r="M16" i="2" s="1"/>
  <c r="N16" i="2" s="1"/>
  <c r="L15" i="2"/>
  <c r="L14" i="2"/>
  <c r="L13" i="2"/>
  <c r="L12" i="2"/>
  <c r="M12" i="2" s="1"/>
  <c r="N12" i="2" s="1"/>
  <c r="L11" i="2"/>
  <c r="M11" i="2" s="1"/>
  <c r="N11" i="2" s="1"/>
  <c r="L10" i="2"/>
  <c r="M10" i="2" s="1"/>
  <c r="L9" i="2"/>
  <c r="L8" i="2"/>
  <c r="M8" i="2" s="1"/>
  <c r="N8" i="2" s="1"/>
  <c r="L7" i="2"/>
  <c r="L6" i="2"/>
  <c r="L5" i="2"/>
  <c r="L4" i="2"/>
  <c r="M4" i="2" s="1"/>
  <c r="N4" i="2" s="1"/>
  <c r="L3" i="2"/>
  <c r="M3" i="2" s="1"/>
  <c r="N3" i="2" s="1"/>
  <c r="L2" i="2"/>
  <c r="M466" i="2" l="1"/>
  <c r="N466" i="2"/>
  <c r="M1164" i="2"/>
  <c r="N1164" i="2"/>
  <c r="M598" i="2"/>
  <c r="N598" i="2"/>
  <c r="N650" i="2"/>
  <c r="M722" i="2"/>
  <c r="N722" i="2" s="1"/>
  <c r="M402" i="2"/>
  <c r="N402" i="2"/>
  <c r="M818" i="2"/>
  <c r="N818" i="2" s="1"/>
  <c r="N862" i="2"/>
  <c r="N1084" i="2"/>
  <c r="N275" i="2"/>
  <c r="N964" i="2"/>
  <c r="N373" i="2"/>
  <c r="N630" i="2"/>
  <c r="M1034" i="2"/>
  <c r="N1034" i="2"/>
  <c r="N558" i="2"/>
  <c r="N886" i="2"/>
  <c r="N908" i="2"/>
  <c r="M1125" i="2"/>
  <c r="N1125" i="2" s="1"/>
  <c r="N139" i="2"/>
  <c r="N464" i="2"/>
  <c r="N712" i="2"/>
  <c r="N776" i="2"/>
  <c r="N946" i="2"/>
  <c r="M960" i="2"/>
  <c r="N960" i="2"/>
  <c r="M414" i="2"/>
  <c r="N414" i="2"/>
  <c r="M618" i="2"/>
  <c r="N618" i="2"/>
  <c r="N670" i="2"/>
  <c r="M770" i="2"/>
  <c r="N770" i="2"/>
  <c r="N743" i="2"/>
  <c r="N1190" i="2"/>
  <c r="N148" i="2"/>
  <c r="M833" i="2"/>
  <c r="N833" i="2" s="1"/>
  <c r="N924" i="2"/>
  <c r="N382" i="2"/>
  <c r="N533" i="2"/>
  <c r="N988" i="2"/>
  <c r="M1047" i="2"/>
  <c r="N1047" i="2" s="1"/>
  <c r="N805" i="2"/>
  <c r="M883" i="2"/>
  <c r="N883" i="2" s="1"/>
  <c r="N1178" i="2"/>
  <c r="N243" i="2"/>
  <c r="N1126" i="2"/>
  <c r="N422" i="2"/>
  <c r="N514" i="2"/>
  <c r="N662" i="2"/>
  <c r="N1180" i="2"/>
  <c r="N51" i="2"/>
  <c r="N1199" i="2"/>
  <c r="N50" i="2"/>
  <c r="M54" i="2"/>
  <c r="N54" i="2" s="1"/>
  <c r="N198" i="2"/>
  <c r="M198" i="2"/>
  <c r="M356" i="2"/>
  <c r="N356" i="2" s="1"/>
  <c r="M545" i="2"/>
  <c r="N545" i="2" s="1"/>
  <c r="M850" i="2"/>
  <c r="N850" i="2" s="1"/>
  <c r="M957" i="2"/>
  <c r="N957" i="2" s="1"/>
  <c r="M1105" i="2"/>
  <c r="N1105" i="2" s="1"/>
  <c r="M9" i="2"/>
  <c r="N9" i="2" s="1"/>
  <c r="N33" i="2"/>
  <c r="M38" i="2"/>
  <c r="N38" i="2" s="1"/>
  <c r="M50" i="2"/>
  <c r="N145" i="2"/>
  <c r="M166" i="2"/>
  <c r="N166" i="2" s="1"/>
  <c r="M172" i="2"/>
  <c r="N172" i="2" s="1"/>
  <c r="M211" i="2"/>
  <c r="N211" i="2" s="1"/>
  <c r="M222" i="2"/>
  <c r="N222" i="2" s="1"/>
  <c r="N249" i="2"/>
  <c r="M283" i="2"/>
  <c r="N283" i="2" s="1"/>
  <c r="M299" i="2"/>
  <c r="N299" i="2" s="1"/>
  <c r="N321" i="2"/>
  <c r="M339" i="2"/>
  <c r="N339" i="2" s="1"/>
  <c r="M429" i="2"/>
  <c r="N429" i="2" s="1"/>
  <c r="M486" i="2"/>
  <c r="N486" i="2" s="1"/>
  <c r="M565" i="2"/>
  <c r="N565" i="2"/>
  <c r="M606" i="2"/>
  <c r="N606" i="2"/>
  <c r="M625" i="2"/>
  <c r="N625" i="2" s="1"/>
  <c r="M661" i="2"/>
  <c r="N661" i="2"/>
  <c r="M835" i="2"/>
  <c r="N835" i="2"/>
  <c r="M891" i="2"/>
  <c r="N891" i="2"/>
  <c r="M1025" i="2"/>
  <c r="N1025" i="2" s="1"/>
  <c r="N1041" i="2"/>
  <c r="M1057" i="2"/>
  <c r="N1057" i="2" s="1"/>
  <c r="N1076" i="2"/>
  <c r="N81" i="2"/>
  <c r="M86" i="2"/>
  <c r="N86" i="2" s="1"/>
  <c r="N97" i="2"/>
  <c r="M102" i="2"/>
  <c r="N102" i="2" s="1"/>
  <c r="M140" i="2"/>
  <c r="N140" i="2" s="1"/>
  <c r="N193" i="2"/>
  <c r="M238" i="2"/>
  <c r="N238" i="2" s="1"/>
  <c r="M250" i="2"/>
  <c r="N250" i="2" s="1"/>
  <c r="M300" i="2"/>
  <c r="N300" i="2" s="1"/>
  <c r="M358" i="2"/>
  <c r="N358" i="2" s="1"/>
  <c r="M376" i="2"/>
  <c r="N376" i="2"/>
  <c r="M388" i="2"/>
  <c r="N388" i="2" s="1"/>
  <c r="M405" i="2"/>
  <c r="N405" i="2" s="1"/>
  <c r="M517" i="2"/>
  <c r="N517" i="2" s="1"/>
  <c r="M725" i="2"/>
  <c r="N725" i="2" s="1"/>
  <c r="M742" i="2"/>
  <c r="N742" i="2" s="1"/>
  <c r="M753" i="2"/>
  <c r="N753" i="2" s="1"/>
  <c r="N765" i="2"/>
  <c r="N808" i="2"/>
  <c r="M920" i="2"/>
  <c r="N920" i="2" s="1"/>
  <c r="M943" i="2"/>
  <c r="N943" i="2" s="1"/>
  <c r="M985" i="2"/>
  <c r="N985" i="2" s="1"/>
  <c r="N1036" i="2"/>
  <c r="M1041" i="2"/>
  <c r="N1046" i="2"/>
  <c r="M1072" i="2"/>
  <c r="N1072" i="2" s="1"/>
  <c r="N1113" i="2"/>
  <c r="M1145" i="2"/>
  <c r="N1145" i="2" s="1"/>
  <c r="M35" i="2"/>
  <c r="N35" i="2"/>
  <c r="M51" i="2"/>
  <c r="M57" i="2"/>
  <c r="N57" i="2"/>
  <c r="M98" i="2"/>
  <c r="N98" i="2"/>
  <c r="N124" i="2"/>
  <c r="M267" i="2"/>
  <c r="N267" i="2" s="1"/>
  <c r="M278" i="2"/>
  <c r="N278" i="2" s="1"/>
  <c r="M334" i="2"/>
  <c r="N334" i="2" s="1"/>
  <c r="M394" i="2"/>
  <c r="N394" i="2" s="1"/>
  <c r="M423" i="2"/>
  <c r="N423" i="2" s="1"/>
  <c r="M501" i="2"/>
  <c r="N501" i="2" s="1"/>
  <c r="M513" i="2"/>
  <c r="N513" i="2" s="1"/>
  <c r="M697" i="2"/>
  <c r="N697" i="2" s="1"/>
  <c r="M738" i="2"/>
  <c r="N738" i="2" s="1"/>
  <c r="N747" i="2"/>
  <c r="N754" i="2"/>
  <c r="M826" i="2"/>
  <c r="N826" i="2" s="1"/>
  <c r="N876" i="2"/>
  <c r="N975" i="2"/>
  <c r="M1037" i="2"/>
  <c r="N1037" i="2"/>
  <c r="M1100" i="2"/>
  <c r="N1100" i="2"/>
  <c r="M1113" i="2"/>
  <c r="N1140" i="2"/>
  <c r="N67" i="2"/>
  <c r="N73" i="2"/>
  <c r="M83" i="2"/>
  <c r="N83" i="2"/>
  <c r="M131" i="2"/>
  <c r="N131" i="2" s="1"/>
  <c r="M174" i="2"/>
  <c r="N174" i="2" s="1"/>
  <c r="N185" i="2"/>
  <c r="M195" i="2"/>
  <c r="N195" i="2" s="1"/>
  <c r="M235" i="2"/>
  <c r="N235" i="2" s="1"/>
  <c r="N251" i="2"/>
  <c r="M262" i="2"/>
  <c r="N262" i="2" s="1"/>
  <c r="N302" i="2"/>
  <c r="N323" i="2"/>
  <c r="N366" i="2"/>
  <c r="M502" i="2"/>
  <c r="N502" i="2"/>
  <c r="M567" i="2"/>
  <c r="N567" i="2" s="1"/>
  <c r="N632" i="2"/>
  <c r="M754" i="2"/>
  <c r="N847" i="2"/>
  <c r="M954" i="2"/>
  <c r="N954" i="2" s="1"/>
  <c r="M965" i="2"/>
  <c r="N965" i="2" s="1"/>
  <c r="M1114" i="2"/>
  <c r="N1114" i="2"/>
  <c r="N1193" i="2"/>
  <c r="M1199" i="2"/>
  <c r="M36" i="2"/>
  <c r="N36" i="2" s="1"/>
  <c r="M126" i="2"/>
  <c r="N126" i="2" s="1"/>
  <c r="M142" i="2"/>
  <c r="N142" i="2" s="1"/>
  <c r="M164" i="2"/>
  <c r="N164" i="2" s="1"/>
  <c r="N169" i="2"/>
  <c r="N214" i="2"/>
  <c r="N257" i="2"/>
  <c r="M302" i="2"/>
  <c r="N313" i="2"/>
  <c r="M342" i="2"/>
  <c r="N342" i="2" s="1"/>
  <c r="M465" i="2"/>
  <c r="N465" i="2" s="1"/>
  <c r="M478" i="2"/>
  <c r="N478" i="2"/>
  <c r="N530" i="2"/>
  <c r="N542" i="2"/>
  <c r="M574" i="2"/>
  <c r="N574" i="2"/>
  <c r="N621" i="2"/>
  <c r="M633" i="2"/>
  <c r="N633" i="2" s="1"/>
  <c r="M866" i="2"/>
  <c r="N866" i="2" s="1"/>
  <c r="N900" i="2"/>
  <c r="M909" i="2"/>
  <c r="N909" i="2" s="1"/>
  <c r="M933" i="2"/>
  <c r="N933" i="2" s="1"/>
  <c r="N945" i="2"/>
  <c r="N970" i="2"/>
  <c r="M1096" i="2"/>
  <c r="N1096" i="2" s="1"/>
  <c r="M1193" i="2"/>
  <c r="M59" i="2"/>
  <c r="N59" i="2" s="1"/>
  <c r="M63" i="2"/>
  <c r="N63" i="2" s="1"/>
  <c r="M74" i="2"/>
  <c r="N74" i="2" s="1"/>
  <c r="N105" i="2"/>
  <c r="N115" i="2"/>
  <c r="N203" i="2"/>
  <c r="M214" i="2"/>
  <c r="M355" i="2"/>
  <c r="N355" i="2" s="1"/>
  <c r="N470" i="2"/>
  <c r="M510" i="2"/>
  <c r="N510" i="2"/>
  <c r="M543" i="2"/>
  <c r="N543" i="2"/>
  <c r="M562" i="2"/>
  <c r="N562" i="2"/>
  <c r="M616" i="2"/>
  <c r="N616" i="2" s="1"/>
  <c r="M628" i="2"/>
  <c r="N628" i="2" s="1"/>
  <c r="N680" i="2"/>
  <c r="M692" i="2"/>
  <c r="N692" i="2" s="1"/>
  <c r="M811" i="2"/>
  <c r="N811" i="2" s="1"/>
  <c r="N848" i="2"/>
  <c r="M895" i="2"/>
  <c r="N895" i="2" s="1"/>
  <c r="N922" i="2"/>
  <c r="M945" i="2"/>
  <c r="M961" i="2"/>
  <c r="N961" i="2" s="1"/>
  <c r="N966" i="2"/>
  <c r="M1103" i="2"/>
  <c r="N1103" i="2" s="1"/>
  <c r="M1172" i="2"/>
  <c r="N1172" i="2"/>
  <c r="M1177" i="2"/>
  <c r="N1177" i="2" s="1"/>
  <c r="M49" i="2"/>
  <c r="N49" i="2" s="1"/>
  <c r="N150" i="2"/>
  <c r="N171" i="2"/>
  <c r="M203" i="2"/>
  <c r="M259" i="2"/>
  <c r="N259" i="2" s="1"/>
  <c r="M315" i="2"/>
  <c r="N315" i="2" s="1"/>
  <c r="N326" i="2"/>
  <c r="N350" i="2"/>
  <c r="N369" i="2"/>
  <c r="M374" i="2"/>
  <c r="N374" i="2"/>
  <c r="M439" i="2"/>
  <c r="N439" i="2" s="1"/>
  <c r="M445" i="2"/>
  <c r="N445" i="2" s="1"/>
  <c r="N505" i="2"/>
  <c r="N576" i="2"/>
  <c r="M693" i="2"/>
  <c r="N693" i="2"/>
  <c r="M794" i="2"/>
  <c r="N794" i="2" s="1"/>
  <c r="N829" i="2"/>
  <c r="N901" i="2"/>
  <c r="M906" i="2"/>
  <c r="N906" i="2" s="1"/>
  <c r="M967" i="2"/>
  <c r="N967" i="2" s="1"/>
  <c r="N1012" i="2"/>
  <c r="M1017" i="2"/>
  <c r="N1017" i="2" s="1"/>
  <c r="M1023" i="2"/>
  <c r="N1023" i="2" s="1"/>
  <c r="M1030" i="2"/>
  <c r="N1030" i="2"/>
  <c r="N254" i="2"/>
  <c r="N310" i="2"/>
  <c r="M347" i="2"/>
  <c r="N347" i="2" s="1"/>
  <c r="M508" i="2"/>
  <c r="N508" i="2"/>
  <c r="M557" i="2"/>
  <c r="N557" i="2" s="1"/>
  <c r="M903" i="2"/>
  <c r="N903" i="2" s="1"/>
  <c r="M1033" i="2"/>
  <c r="N1033" i="2" s="1"/>
  <c r="M1159" i="2"/>
  <c r="N1159" i="2" s="1"/>
  <c r="M78" i="2"/>
  <c r="N78" i="2" s="1"/>
  <c r="N163" i="2"/>
  <c r="M182" i="2"/>
  <c r="N182" i="2" s="1"/>
  <c r="M190" i="2"/>
  <c r="N190" i="2" s="1"/>
  <c r="M206" i="2"/>
  <c r="N206" i="2" s="1"/>
  <c r="M230" i="2"/>
  <c r="N230" i="2" s="1"/>
  <c r="N246" i="2"/>
  <c r="M254" i="2"/>
  <c r="N286" i="2"/>
  <c r="M310" i="2"/>
  <c r="M385" i="2"/>
  <c r="N385" i="2" s="1"/>
  <c r="M391" i="2"/>
  <c r="N391" i="2" s="1"/>
  <c r="N420" i="2"/>
  <c r="N448" i="2"/>
  <c r="N485" i="2"/>
  <c r="N497" i="2"/>
  <c r="N534" i="2"/>
  <c r="N551" i="2"/>
  <c r="M570" i="2"/>
  <c r="N570" i="2" s="1"/>
  <c r="N586" i="2"/>
  <c r="N592" i="2"/>
  <c r="N629" i="2"/>
  <c r="N638" i="2"/>
  <c r="N671" i="2"/>
  <c r="M694" i="2"/>
  <c r="N694" i="2"/>
  <c r="M706" i="2"/>
  <c r="N706" i="2" s="1"/>
  <c r="N773" i="2"/>
  <c r="N779" i="2"/>
  <c r="N855" i="2"/>
  <c r="N904" i="2"/>
  <c r="N929" i="2"/>
  <c r="M948" i="2"/>
  <c r="N948" i="2"/>
  <c r="N968" i="2"/>
  <c r="M977" i="2"/>
  <c r="N977" i="2" s="1"/>
  <c r="M1061" i="2"/>
  <c r="N1061" i="2" s="1"/>
  <c r="N1073" i="2"/>
  <c r="M1081" i="2"/>
  <c r="N1081" i="2" s="1"/>
  <c r="N1116" i="2"/>
  <c r="M1153" i="2"/>
  <c r="N1153" i="2" s="1"/>
  <c r="N1170" i="2"/>
  <c r="N1185" i="2"/>
  <c r="N953" i="2"/>
  <c r="N1154" i="2"/>
  <c r="N1169" i="2"/>
  <c r="N30" i="2"/>
  <c r="N134" i="2"/>
  <c r="N158" i="2"/>
  <c r="N270" i="2"/>
  <c r="N294" i="2"/>
  <c r="N318" i="2"/>
  <c r="M446" i="2"/>
  <c r="N446" i="2"/>
  <c r="N488" i="2"/>
  <c r="N504" i="2"/>
  <c r="N702" i="2"/>
  <c r="N800" i="2"/>
  <c r="M813" i="2"/>
  <c r="N813" i="2" s="1"/>
  <c r="N849" i="2"/>
  <c r="N907" i="2"/>
  <c r="M910" i="2"/>
  <c r="N910" i="2" s="1"/>
  <c r="N941" i="2"/>
  <c r="M953" i="2"/>
  <c r="N978" i="2"/>
  <c r="M983" i="2"/>
  <c r="N983" i="2" s="1"/>
  <c r="N998" i="2"/>
  <c r="M1009" i="2"/>
  <c r="N1009" i="2" s="1"/>
  <c r="M1089" i="2"/>
  <c r="N1089" i="2" s="1"/>
  <c r="N1110" i="2"/>
  <c r="N1121" i="2"/>
  <c r="M1154" i="2"/>
  <c r="M1169" i="2"/>
  <c r="N442" i="2"/>
  <c r="N482" i="2"/>
  <c r="N573" i="2"/>
  <c r="N993" i="2"/>
  <c r="N1050" i="2"/>
  <c r="N1097" i="2"/>
  <c r="M1137" i="2"/>
  <c r="N1137" i="2" s="1"/>
  <c r="M1201" i="2"/>
  <c r="N1201" i="2" s="1"/>
  <c r="N39" i="2"/>
  <c r="N247" i="2"/>
  <c r="N335" i="2"/>
  <c r="M240" i="2"/>
  <c r="N240" i="2" s="1"/>
  <c r="N341" i="2"/>
  <c r="M686" i="2"/>
  <c r="N686" i="2" s="1"/>
  <c r="M7" i="2"/>
  <c r="N7" i="2" s="1"/>
  <c r="M170" i="2"/>
  <c r="N170" i="2" s="1"/>
  <c r="M200" i="2"/>
  <c r="N200" i="2" s="1"/>
  <c r="M341" i="2"/>
  <c r="M18" i="2"/>
  <c r="N18" i="2" s="1"/>
  <c r="M136" i="2"/>
  <c r="N136" i="2" s="1"/>
  <c r="N197" i="2"/>
  <c r="N234" i="2"/>
  <c r="M335" i="2"/>
  <c r="M438" i="2"/>
  <c r="N438" i="2"/>
  <c r="M450" i="2"/>
  <c r="N450" i="2" s="1"/>
  <c r="M503" i="2"/>
  <c r="N503" i="2" s="1"/>
  <c r="N509" i="2"/>
  <c r="N540" i="2"/>
  <c r="N568" i="2"/>
  <c r="M588" i="2"/>
  <c r="N588" i="2" s="1"/>
  <c r="M652" i="2"/>
  <c r="N652" i="2" s="1"/>
  <c r="M888" i="2"/>
  <c r="N888" i="2"/>
  <c r="M894" i="2"/>
  <c r="N894" i="2" s="1"/>
  <c r="M898" i="2"/>
  <c r="N898" i="2" s="1"/>
  <c r="M917" i="2"/>
  <c r="N917" i="2" s="1"/>
  <c r="N1028" i="2"/>
  <c r="M1043" i="2"/>
  <c r="N1043" i="2" s="1"/>
  <c r="M1088" i="2"/>
  <c r="N1088" i="2" s="1"/>
  <c r="M1106" i="2"/>
  <c r="N1106" i="2"/>
  <c r="M5" i="2"/>
  <c r="N5" i="2" s="1"/>
  <c r="M13" i="2"/>
  <c r="N13" i="2" s="1"/>
  <c r="M31" i="2"/>
  <c r="N31" i="2" s="1"/>
  <c r="M48" i="2"/>
  <c r="N48" i="2" s="1"/>
  <c r="N58" i="2"/>
  <c r="N65" i="2"/>
  <c r="M72" i="2"/>
  <c r="N72" i="2" s="1"/>
  <c r="N82" i="2"/>
  <c r="M96" i="2"/>
  <c r="N96" i="2" s="1"/>
  <c r="N106" i="2"/>
  <c r="N113" i="2"/>
  <c r="N119" i="2"/>
  <c r="M130" i="2"/>
  <c r="N130" i="2" s="1"/>
  <c r="M143" i="2"/>
  <c r="N143" i="2" s="1"/>
  <c r="M154" i="2"/>
  <c r="N154" i="2" s="1"/>
  <c r="M167" i="2"/>
  <c r="N167" i="2" s="1"/>
  <c r="M184" i="2"/>
  <c r="N184" i="2" s="1"/>
  <c r="N194" i="2"/>
  <c r="M197" i="2"/>
  <c r="N207" i="2"/>
  <c r="M218" i="2"/>
  <c r="N218" i="2" s="1"/>
  <c r="M231" i="2"/>
  <c r="N231" i="2" s="1"/>
  <c r="M248" i="2"/>
  <c r="N248" i="2" s="1"/>
  <c r="N258" i="2"/>
  <c r="M261" i="2"/>
  <c r="N261" i="2" s="1"/>
  <c r="N271" i="2"/>
  <c r="M282" i="2"/>
  <c r="N282" i="2" s="1"/>
  <c r="M295" i="2"/>
  <c r="N295" i="2" s="1"/>
  <c r="M312" i="2"/>
  <c r="N312" i="2" s="1"/>
  <c r="N322" i="2"/>
  <c r="M346" i="2"/>
  <c r="N346" i="2" s="1"/>
  <c r="M359" i="2"/>
  <c r="N359" i="2" s="1"/>
  <c r="M384" i="2"/>
  <c r="N384" i="2" s="1"/>
  <c r="N434" i="2"/>
  <c r="M496" i="2"/>
  <c r="N496" i="2" s="1"/>
  <c r="N506" i="2"/>
  <c r="M541" i="2"/>
  <c r="N541" i="2" s="1"/>
  <c r="N584" i="2"/>
  <c r="N622" i="2"/>
  <c r="M643" i="2"/>
  <c r="N643" i="2" s="1"/>
  <c r="M674" i="2"/>
  <c r="N674" i="2" s="1"/>
  <c r="N731" i="2"/>
  <c r="M768" i="2"/>
  <c r="N768" i="2" s="1"/>
  <c r="M868" i="2"/>
  <c r="N868" i="2" s="1"/>
  <c r="M884" i="2"/>
  <c r="N884" i="2"/>
  <c r="N902" i="2"/>
  <c r="M1024" i="2"/>
  <c r="N1024" i="2"/>
  <c r="M1102" i="2"/>
  <c r="N1102" i="2" s="1"/>
  <c r="M1107" i="2"/>
  <c r="N1107" i="2" s="1"/>
  <c r="M304" i="2"/>
  <c r="N304" i="2" s="1"/>
  <c r="M744" i="2"/>
  <c r="N744" i="2"/>
  <c r="M771" i="2"/>
  <c r="N771" i="2" s="1"/>
  <c r="M780" i="2"/>
  <c r="N780" i="2" s="1"/>
  <c r="M840" i="2"/>
  <c r="N840" i="2" s="1"/>
  <c r="M938" i="2"/>
  <c r="N938" i="2" s="1"/>
  <c r="M973" i="2"/>
  <c r="N973" i="2"/>
  <c r="M71" i="2"/>
  <c r="N71" i="2" s="1"/>
  <c r="M95" i="2"/>
  <c r="N95" i="2" s="1"/>
  <c r="M146" i="2"/>
  <c r="N146" i="2" s="1"/>
  <c r="N153" i="2"/>
  <c r="M183" i="2"/>
  <c r="N183" i="2" s="1"/>
  <c r="M213" i="2"/>
  <c r="N213" i="2" s="1"/>
  <c r="M247" i="2"/>
  <c r="M277" i="2"/>
  <c r="N277" i="2" s="1"/>
  <c r="M311" i="2"/>
  <c r="N311" i="2" s="1"/>
  <c r="M328" i="2"/>
  <c r="N328" i="2" s="1"/>
  <c r="N430" i="2"/>
  <c r="N437" i="2"/>
  <c r="N462" i="2"/>
  <c r="M515" i="2"/>
  <c r="N515" i="2" s="1"/>
  <c r="N518" i="2"/>
  <c r="N527" i="2"/>
  <c r="M544" i="2"/>
  <c r="N544" i="2" s="1"/>
  <c r="N559" i="2"/>
  <c r="M669" i="2"/>
  <c r="N669" i="2" s="1"/>
  <c r="M707" i="2"/>
  <c r="N707" i="2" s="1"/>
  <c r="M736" i="2"/>
  <c r="N736" i="2" s="1"/>
  <c r="M745" i="2"/>
  <c r="N745" i="2" s="1"/>
  <c r="N777" i="2"/>
  <c r="M789" i="2"/>
  <c r="N789" i="2" s="1"/>
  <c r="M815" i="2"/>
  <c r="N815" i="2" s="1"/>
  <c r="N824" i="2"/>
  <c r="M827" i="2"/>
  <c r="N827" i="2" s="1"/>
  <c r="N930" i="2"/>
  <c r="M934" i="2"/>
  <c r="N934" i="2"/>
  <c r="M1056" i="2"/>
  <c r="N1056" i="2"/>
  <c r="M1132" i="2"/>
  <c r="N1132" i="2" s="1"/>
  <c r="N10" i="2"/>
  <c r="N25" i="2"/>
  <c r="N45" i="2"/>
  <c r="N62" i="2"/>
  <c r="N69" i="2"/>
  <c r="N93" i="2"/>
  <c r="N110" i="2"/>
  <c r="M120" i="2"/>
  <c r="N120" i="2" s="1"/>
  <c r="M133" i="2"/>
  <c r="N133" i="2" s="1"/>
  <c r="N137" i="2"/>
  <c r="M157" i="2"/>
  <c r="N157" i="2" s="1"/>
  <c r="N181" i="2"/>
  <c r="M208" i="2"/>
  <c r="N208" i="2" s="1"/>
  <c r="M221" i="2"/>
  <c r="N221" i="2" s="1"/>
  <c r="N245" i="2"/>
  <c r="M272" i="2"/>
  <c r="N272" i="2" s="1"/>
  <c r="M285" i="2"/>
  <c r="N285" i="2" s="1"/>
  <c r="N309" i="2"/>
  <c r="M336" i="2"/>
  <c r="N336" i="2" s="1"/>
  <c r="M349" i="2"/>
  <c r="N349" i="2" s="1"/>
  <c r="N371" i="2"/>
  <c r="M387" i="2"/>
  <c r="N387" i="2" s="1"/>
  <c r="N390" i="2"/>
  <c r="M397" i="2"/>
  <c r="N397" i="2" s="1"/>
  <c r="M410" i="2"/>
  <c r="N410" i="2" s="1"/>
  <c r="M427" i="2"/>
  <c r="N427" i="2" s="1"/>
  <c r="M447" i="2"/>
  <c r="N447" i="2" s="1"/>
  <c r="M456" i="2"/>
  <c r="N456" i="2" s="1"/>
  <c r="M500" i="2"/>
  <c r="N500" i="2" s="1"/>
  <c r="M528" i="2"/>
  <c r="N528" i="2" s="1"/>
  <c r="M556" i="2"/>
  <c r="N556" i="2" s="1"/>
  <c r="N589" i="2"/>
  <c r="M623" i="2"/>
  <c r="N623" i="2" s="1"/>
  <c r="N759" i="2"/>
  <c r="M769" i="2"/>
  <c r="N769" i="2" s="1"/>
  <c r="M853" i="2"/>
  <c r="N853" i="2" s="1"/>
  <c r="M864" i="2"/>
  <c r="N864" i="2" s="1"/>
  <c r="M869" i="2"/>
  <c r="N869" i="2"/>
  <c r="M890" i="2"/>
  <c r="N890" i="2"/>
  <c r="M1020" i="2"/>
  <c r="N1020" i="2"/>
  <c r="M1094" i="2"/>
  <c r="N1094" i="2" s="1"/>
  <c r="M40" i="2"/>
  <c r="N40" i="2" s="1"/>
  <c r="M1027" i="2"/>
  <c r="N1027" i="2" s="1"/>
  <c r="M15" i="2"/>
  <c r="N15" i="2" s="1"/>
  <c r="M149" i="2"/>
  <c r="N149" i="2" s="1"/>
  <c r="M264" i="2"/>
  <c r="N264" i="2" s="1"/>
  <c r="M24" i="2"/>
  <c r="N24" i="2" s="1"/>
  <c r="M37" i="2"/>
  <c r="N37" i="2" s="1"/>
  <c r="M237" i="2"/>
  <c r="N237" i="2" s="1"/>
  <c r="N298" i="2"/>
  <c r="M352" i="2"/>
  <c r="N352" i="2" s="1"/>
  <c r="N362" i="2"/>
  <c r="N431" i="2"/>
  <c r="M483" i="2"/>
  <c r="N483" i="2" s="1"/>
  <c r="M499" i="2"/>
  <c r="N499" i="2" s="1"/>
  <c r="M531" i="2"/>
  <c r="N531" i="2" s="1"/>
  <c r="M572" i="2"/>
  <c r="N572" i="2" s="1"/>
  <c r="M777" i="2"/>
  <c r="M819" i="2"/>
  <c r="N819" i="2" s="1"/>
  <c r="M32" i="2"/>
  <c r="N32" i="2" s="1"/>
  <c r="N117" i="2"/>
  <c r="M144" i="2"/>
  <c r="N144" i="2" s="1"/>
  <c r="M168" i="2"/>
  <c r="N168" i="2" s="1"/>
  <c r="M232" i="2"/>
  <c r="N232" i="2" s="1"/>
  <c r="M296" i="2"/>
  <c r="N296" i="2" s="1"/>
  <c r="M360" i="2"/>
  <c r="N360" i="2" s="1"/>
  <c r="M428" i="2"/>
  <c r="N428" i="2" s="1"/>
  <c r="M538" i="2"/>
  <c r="N538" i="2" s="1"/>
  <c r="M614" i="2"/>
  <c r="N614" i="2"/>
  <c r="M655" i="2"/>
  <c r="N655" i="2" s="1"/>
  <c r="M710" i="2"/>
  <c r="N710" i="2" s="1"/>
  <c r="M859" i="2"/>
  <c r="N859" i="2" s="1"/>
  <c r="M416" i="2"/>
  <c r="N416" i="2" s="1"/>
  <c r="M535" i="2"/>
  <c r="N535" i="2" s="1"/>
  <c r="B13" i="4"/>
  <c r="E13" i="4" s="1"/>
  <c r="B12" i="4"/>
  <c r="E12" i="4" s="1"/>
  <c r="B11" i="4"/>
  <c r="E11" i="4" s="1"/>
  <c r="B5" i="4"/>
  <c r="E5" i="4" s="1"/>
  <c r="B10" i="4"/>
  <c r="E10" i="4" s="1"/>
  <c r="B9" i="4"/>
  <c r="E9" i="4" s="1"/>
  <c r="B8" i="4"/>
  <c r="E8" i="4" s="1"/>
  <c r="B7" i="4"/>
  <c r="E7" i="4" s="1"/>
  <c r="B6" i="4"/>
  <c r="E6" i="4" s="1"/>
  <c r="B4" i="4"/>
  <c r="E4" i="4" s="1"/>
  <c r="B3" i="4"/>
  <c r="E3" i="4" s="1"/>
  <c r="B2" i="4"/>
  <c r="E2" i="4" s="1"/>
  <c r="M47" i="2"/>
  <c r="N47" i="2" s="1"/>
  <c r="M64" i="2"/>
  <c r="N64" i="2" s="1"/>
  <c r="N173" i="2"/>
  <c r="N21" i="2"/>
  <c r="N34" i="2"/>
  <c r="N61" i="2"/>
  <c r="M288" i="2"/>
  <c r="N288" i="2" s="1"/>
  <c r="M301" i="2"/>
  <c r="N301" i="2" s="1"/>
  <c r="N325" i="2"/>
  <c r="M413" i="2"/>
  <c r="N413" i="2" s="1"/>
  <c r="N555" i="2"/>
  <c r="M867" i="2"/>
  <c r="N867" i="2" s="1"/>
  <c r="M6" i="2"/>
  <c r="N6" i="2" s="1"/>
  <c r="M14" i="2"/>
  <c r="N14" i="2" s="1"/>
  <c r="M26" i="2"/>
  <c r="N26" i="2" s="1"/>
  <c r="N29" i="2"/>
  <c r="M39" i="2"/>
  <c r="N46" i="2"/>
  <c r="M56" i="2"/>
  <c r="N56" i="2" s="1"/>
  <c r="N70" i="2"/>
  <c r="M80" i="2"/>
  <c r="N80" i="2" s="1"/>
  <c r="M87" i="2"/>
  <c r="N87" i="2" s="1"/>
  <c r="N94" i="2"/>
  <c r="M104" i="2"/>
  <c r="N104" i="2" s="1"/>
  <c r="M117" i="2"/>
  <c r="N121" i="2"/>
  <c r="M138" i="2"/>
  <c r="N138" i="2" s="1"/>
  <c r="N141" i="2"/>
  <c r="M162" i="2"/>
  <c r="N162" i="2" s="1"/>
  <c r="N165" i="2"/>
  <c r="M175" i="2"/>
  <c r="N175" i="2" s="1"/>
  <c r="M192" i="2"/>
  <c r="N192" i="2" s="1"/>
  <c r="M205" i="2"/>
  <c r="N205" i="2" s="1"/>
  <c r="M226" i="2"/>
  <c r="N226" i="2" s="1"/>
  <c r="M239" i="2"/>
  <c r="N239" i="2" s="1"/>
  <c r="M256" i="2"/>
  <c r="N256" i="2" s="1"/>
  <c r="M269" i="2"/>
  <c r="N269" i="2" s="1"/>
  <c r="M290" i="2"/>
  <c r="N290" i="2" s="1"/>
  <c r="N293" i="2"/>
  <c r="M303" i="2"/>
  <c r="N303" i="2" s="1"/>
  <c r="M320" i="2"/>
  <c r="N320" i="2" s="1"/>
  <c r="M333" i="2"/>
  <c r="N333" i="2" s="1"/>
  <c r="M354" i="2"/>
  <c r="N354" i="2" s="1"/>
  <c r="M368" i="2"/>
  <c r="N368" i="2" s="1"/>
  <c r="N406" i="2"/>
  <c r="M415" i="2"/>
  <c r="N415" i="2" s="1"/>
  <c r="N440" i="2"/>
  <c r="M444" i="2"/>
  <c r="N444" i="2" s="1"/>
  <c r="N472" i="2"/>
  <c r="M493" i="2"/>
  <c r="N493" i="2" s="1"/>
  <c r="M524" i="2"/>
  <c r="N524" i="2" s="1"/>
  <c r="M546" i="2"/>
  <c r="N546" i="2" s="1"/>
  <c r="M566" i="2"/>
  <c r="N566" i="2" s="1"/>
  <c r="M578" i="2"/>
  <c r="N578" i="2" s="1"/>
  <c r="M640" i="2"/>
  <c r="N640" i="2" s="1"/>
  <c r="M660" i="2"/>
  <c r="N660" i="2" s="1"/>
  <c r="N714" i="2"/>
  <c r="N751" i="2"/>
  <c r="M792" i="2"/>
  <c r="N792" i="2" s="1"/>
  <c r="M1002" i="2"/>
  <c r="N1002" i="2" s="1"/>
  <c r="M1060" i="2"/>
  <c r="N1060" i="2"/>
  <c r="M88" i="2"/>
  <c r="N88" i="2" s="1"/>
  <c r="N125" i="2"/>
  <c r="M176" i="2"/>
  <c r="N176" i="2" s="1"/>
  <c r="N400" i="2"/>
  <c r="N651" i="2"/>
  <c r="N85" i="2"/>
  <c r="M112" i="2"/>
  <c r="N112" i="2" s="1"/>
  <c r="N129" i="2"/>
  <c r="M2" i="2"/>
  <c r="N2" i="2" s="1"/>
  <c r="N41" i="2"/>
  <c r="N89" i="2"/>
  <c r="N109" i="2"/>
  <c r="M160" i="2"/>
  <c r="N160" i="2" s="1"/>
  <c r="M224" i="2"/>
  <c r="N224" i="2" s="1"/>
  <c r="N396" i="2"/>
  <c r="M459" i="2"/>
  <c r="N459" i="2" s="1"/>
  <c r="N648" i="2"/>
  <c r="N666" i="2"/>
  <c r="M772" i="2"/>
  <c r="N772" i="2" s="1"/>
  <c r="N53" i="2"/>
  <c r="N77" i="2"/>
  <c r="N101" i="2"/>
  <c r="N118" i="2"/>
  <c r="M128" i="2"/>
  <c r="N128" i="2" s="1"/>
  <c r="M152" i="2"/>
  <c r="N152" i="2" s="1"/>
  <c r="N189" i="2"/>
  <c r="M216" i="2"/>
  <c r="N216" i="2" s="1"/>
  <c r="M229" i="2"/>
  <c r="N229" i="2" s="1"/>
  <c r="N253" i="2"/>
  <c r="M280" i="2"/>
  <c r="N280" i="2" s="1"/>
  <c r="M293" i="2"/>
  <c r="N317" i="2"/>
  <c r="M344" i="2"/>
  <c r="N344" i="2" s="1"/>
  <c r="M357" i="2"/>
  <c r="N357" i="2" s="1"/>
  <c r="M372" i="2"/>
  <c r="N372" i="2" s="1"/>
  <c r="M399" i="2"/>
  <c r="N399" i="2" s="1"/>
  <c r="M403" i="2"/>
  <c r="N403" i="2" s="1"/>
  <c r="M407" i="2"/>
  <c r="N407" i="2" s="1"/>
  <c r="M453" i="2"/>
  <c r="N453" i="2" s="1"/>
  <c r="M469" i="2"/>
  <c r="N469" i="2" s="1"/>
  <c r="N490" i="2"/>
  <c r="M525" i="2"/>
  <c r="N525" i="2" s="1"/>
  <c r="M637" i="2"/>
  <c r="N637" i="2" s="1"/>
  <c r="N656" i="2"/>
  <c r="N685" i="2"/>
  <c r="M715" i="2"/>
  <c r="N715" i="2" s="1"/>
  <c r="M752" i="2"/>
  <c r="N752" i="2"/>
  <c r="M796" i="2"/>
  <c r="N796" i="2" s="1"/>
  <c r="N839" i="2"/>
  <c r="M950" i="2"/>
  <c r="N950" i="2" s="1"/>
  <c r="M958" i="2"/>
  <c r="N958" i="2" s="1"/>
  <c r="N969" i="2"/>
  <c r="N972" i="2"/>
  <c r="N1065" i="2"/>
  <c r="M1118" i="2"/>
  <c r="N1118" i="2"/>
  <c r="N1148" i="2"/>
  <c r="N1152" i="2"/>
  <c r="N1156" i="2"/>
  <c r="N363" i="2"/>
  <c r="N419" i="2"/>
  <c r="N435" i="2"/>
  <c r="N463" i="2"/>
  <c r="M611" i="2"/>
  <c r="N611" i="2" s="1"/>
  <c r="M678" i="2"/>
  <c r="N678" i="2"/>
  <c r="N704" i="2"/>
  <c r="M732" i="2"/>
  <c r="N732" i="2" s="1"/>
  <c r="N748" i="2"/>
  <c r="M793" i="2"/>
  <c r="N793" i="2" s="1"/>
  <c r="N820" i="2"/>
  <c r="N836" i="2"/>
  <c r="M899" i="2"/>
  <c r="N899" i="2" s="1"/>
  <c r="N918" i="2"/>
  <c r="M1120" i="2"/>
  <c r="N1120" i="2" s="1"/>
  <c r="M1165" i="2"/>
  <c r="N1165" i="2"/>
  <c r="N460" i="2"/>
  <c r="N491" i="2"/>
  <c r="M547" i="2"/>
  <c r="N547" i="2" s="1"/>
  <c r="N550" i="2"/>
  <c r="M563" i="2"/>
  <c r="N563" i="2" s="1"/>
  <c r="N579" i="2"/>
  <c r="N582" i="2"/>
  <c r="N590" i="2"/>
  <c r="N608" i="2"/>
  <c r="M619" i="2"/>
  <c r="N619" i="2" s="1"/>
  <c r="N624" i="2"/>
  <c r="M634" i="2"/>
  <c r="N634" i="2" s="1"/>
  <c r="N653" i="2"/>
  <c r="M687" i="2"/>
  <c r="N687" i="2" s="1"/>
  <c r="N701" i="2"/>
  <c r="M716" i="2"/>
  <c r="N716" i="2"/>
  <c r="M860" i="2"/>
  <c r="N860" i="2" s="1"/>
  <c r="M913" i="2"/>
  <c r="N913" i="2" s="1"/>
  <c r="M1052" i="2"/>
  <c r="N1052" i="2"/>
  <c r="M1108" i="2"/>
  <c r="N1108" i="2" s="1"/>
  <c r="N1133" i="2"/>
  <c r="M1158" i="2"/>
  <c r="N1158" i="2"/>
  <c r="M1166" i="2"/>
  <c r="N1166" i="2" s="1"/>
  <c r="M1188" i="2"/>
  <c r="N1188" i="2"/>
  <c r="M1196" i="2"/>
  <c r="N1196" i="2" s="1"/>
  <c r="M591" i="2"/>
  <c r="N591" i="2" s="1"/>
  <c r="M620" i="2"/>
  <c r="N620" i="2" s="1"/>
  <c r="M675" i="2"/>
  <c r="N675" i="2" s="1"/>
  <c r="M721" i="2"/>
  <c r="N721" i="2" s="1"/>
  <c r="M749" i="2"/>
  <c r="N749" i="2"/>
  <c r="M837" i="2"/>
  <c r="N837" i="2" s="1"/>
  <c r="M861" i="2"/>
  <c r="N861" i="2" s="1"/>
  <c r="M923" i="2"/>
  <c r="N923" i="2" s="1"/>
  <c r="M996" i="2"/>
  <c r="N996" i="2"/>
  <c r="M1086" i="2"/>
  <c r="N1086" i="2"/>
  <c r="M1134" i="2"/>
  <c r="N1134" i="2" s="1"/>
  <c r="M1138" i="2"/>
  <c r="N1138" i="2" s="1"/>
  <c r="M367" i="2"/>
  <c r="N367" i="2" s="1"/>
  <c r="N370" i="2"/>
  <c r="N395" i="2"/>
  <c r="N398" i="2"/>
  <c r="N408" i="2"/>
  <c r="M451" i="2"/>
  <c r="N451" i="2" s="1"/>
  <c r="N454" i="2"/>
  <c r="M467" i="2"/>
  <c r="N467" i="2" s="1"/>
  <c r="N492" i="2"/>
  <c r="M495" i="2"/>
  <c r="N495" i="2" s="1"/>
  <c r="N498" i="2"/>
  <c r="N523" i="2"/>
  <c r="N526" i="2"/>
  <c r="N536" i="2"/>
  <c r="N587" i="2"/>
  <c r="N602" i="2"/>
  <c r="M605" i="2"/>
  <c r="N605" i="2" s="1"/>
  <c r="M646" i="2"/>
  <c r="N646" i="2"/>
  <c r="N654" i="2"/>
  <c r="N672" i="2"/>
  <c r="M683" i="2"/>
  <c r="N683" i="2" s="1"/>
  <c r="N688" i="2"/>
  <c r="M698" i="2"/>
  <c r="N698" i="2" s="1"/>
  <c r="N734" i="2"/>
  <c r="N757" i="2"/>
  <c r="N766" i="2"/>
  <c r="M775" i="2"/>
  <c r="N775" i="2"/>
  <c r="M783" i="2"/>
  <c r="N783" i="2" s="1"/>
  <c r="N798" i="2"/>
  <c r="N806" i="2"/>
  <c r="M822" i="2"/>
  <c r="N822" i="2" s="1"/>
  <c r="N845" i="2"/>
  <c r="N852" i="2"/>
  <c r="M856" i="2"/>
  <c r="N856" i="2" s="1"/>
  <c r="M892" i="2"/>
  <c r="N892" i="2" s="1"/>
  <c r="M914" i="2"/>
  <c r="N914" i="2" s="1"/>
  <c r="N937" i="2"/>
  <c r="M992" i="2"/>
  <c r="N992" i="2" s="1"/>
  <c r="N1005" i="2"/>
  <c r="N1010" i="2"/>
  <c r="N1049" i="2"/>
  <c r="M1053" i="2"/>
  <c r="N1053" i="2" s="1"/>
  <c r="M1058" i="2"/>
  <c r="N1058" i="2" s="1"/>
  <c r="M1068" i="2"/>
  <c r="N1068" i="2" s="1"/>
  <c r="M1092" i="2"/>
  <c r="N1092" i="2"/>
  <c r="M1104" i="2"/>
  <c r="N1104" i="2" s="1"/>
  <c r="N1122" i="2"/>
  <c r="N1174" i="2"/>
  <c r="M1181" i="2"/>
  <c r="N1181" i="2" s="1"/>
  <c r="M1197" i="2"/>
  <c r="N1197" i="2" s="1"/>
  <c r="M684" i="2"/>
  <c r="N684" i="2" s="1"/>
  <c r="N718" i="2"/>
  <c r="M726" i="2"/>
  <c r="N726" i="2" s="1"/>
  <c r="M730" i="2"/>
  <c r="N730" i="2"/>
  <c r="M735" i="2"/>
  <c r="N735" i="2" s="1"/>
  <c r="M739" i="2"/>
  <c r="N739" i="2" s="1"/>
  <c r="M758" i="2"/>
  <c r="N758" i="2" s="1"/>
  <c r="M791" i="2"/>
  <c r="N791" i="2"/>
  <c r="M799" i="2"/>
  <c r="N799" i="2"/>
  <c r="M807" i="2"/>
  <c r="N807" i="2" s="1"/>
  <c r="M857" i="2"/>
  <c r="N857" i="2" s="1"/>
  <c r="M872" i="2"/>
  <c r="N872" i="2"/>
  <c r="N976" i="2"/>
  <c r="M980" i="2"/>
  <c r="N980" i="2"/>
  <c r="M1006" i="2"/>
  <c r="N1006" i="2" s="1"/>
  <c r="M1059" i="2"/>
  <c r="N1059" i="2" s="1"/>
  <c r="M1130" i="2"/>
  <c r="N1130" i="2" s="1"/>
  <c r="M1155" i="2"/>
  <c r="N1155" i="2" s="1"/>
  <c r="M1171" i="2"/>
  <c r="N1171" i="2" s="1"/>
  <c r="M831" i="2"/>
  <c r="N831" i="2" s="1"/>
  <c r="M963" i="2"/>
  <c r="N963" i="2" s="1"/>
  <c r="M1014" i="2"/>
  <c r="N1014" i="2" s="1"/>
  <c r="N1066" i="2"/>
  <c r="N379" i="2"/>
  <c r="N411" i="2"/>
  <c r="N443" i="2"/>
  <c r="N475" i="2"/>
  <c r="N507" i="2"/>
  <c r="N539" i="2"/>
  <c r="N571" i="2"/>
  <c r="N603" i="2"/>
  <c r="N635" i="2"/>
  <c r="N667" i="2"/>
  <c r="N699" i="2"/>
  <c r="M729" i="2"/>
  <c r="N729" i="2" s="1"/>
  <c r="M733" i="2"/>
  <c r="N733" i="2" s="1"/>
  <c r="N740" i="2"/>
  <c r="M756" i="2"/>
  <c r="N756" i="2" s="1"/>
  <c r="M767" i="2"/>
  <c r="N767" i="2"/>
  <c r="M774" i="2"/>
  <c r="N774" i="2" s="1"/>
  <c r="N787" i="2"/>
  <c r="N804" i="2"/>
  <c r="M821" i="2"/>
  <c r="N821" i="2" s="1"/>
  <c r="N841" i="2"/>
  <c r="N854" i="2"/>
  <c r="N871" i="2"/>
  <c r="M885" i="2"/>
  <c r="N885" i="2" s="1"/>
  <c r="M889" i="2"/>
  <c r="N889" i="2" s="1"/>
  <c r="N896" i="2"/>
  <c r="N912" i="2"/>
  <c r="N916" i="2"/>
  <c r="N931" i="2"/>
  <c r="N956" i="2"/>
  <c r="M974" i="2"/>
  <c r="N974" i="2"/>
  <c r="N982" i="2"/>
  <c r="M1018" i="2"/>
  <c r="N1018" i="2" s="1"/>
  <c r="N1062" i="2"/>
  <c r="M1066" i="2"/>
  <c r="M1091" i="2"/>
  <c r="N1091" i="2" s="1"/>
  <c r="N1101" i="2"/>
  <c r="N1124" i="2"/>
  <c r="M1142" i="2"/>
  <c r="N1142" i="2"/>
  <c r="N1146" i="2"/>
  <c r="N1161" i="2"/>
  <c r="N1194" i="2"/>
  <c r="N595" i="2"/>
  <c r="N627" i="2"/>
  <c r="N659" i="2"/>
  <c r="N691" i="2"/>
  <c r="M724" i="2"/>
  <c r="N724" i="2"/>
  <c r="N761" i="2"/>
  <c r="M764" i="2"/>
  <c r="N764" i="2" s="1"/>
  <c r="N788" i="2"/>
  <c r="N809" i="2"/>
  <c r="M812" i="2"/>
  <c r="N812" i="2" s="1"/>
  <c r="N851" i="2"/>
  <c r="N921" i="2"/>
  <c r="N925" i="2"/>
  <c r="M932" i="2"/>
  <c r="N932" i="2" s="1"/>
  <c r="M940" i="2"/>
  <c r="N940" i="2"/>
  <c r="N979" i="2"/>
  <c r="M990" i="2"/>
  <c r="N990" i="2" s="1"/>
  <c r="N994" i="2"/>
  <c r="M1004" i="2"/>
  <c r="N1004" i="2" s="1"/>
  <c r="M1038" i="2"/>
  <c r="N1038" i="2" s="1"/>
  <c r="M1078" i="2"/>
  <c r="N1078" i="2"/>
  <c r="N1187" i="2"/>
  <c r="N755" i="2"/>
  <c r="N790" i="2"/>
  <c r="N825" i="2"/>
  <c r="M828" i="2"/>
  <c r="N828" i="2" s="1"/>
  <c r="N844" i="2"/>
  <c r="M863" i="2"/>
  <c r="N863" i="2" s="1"/>
  <c r="N882" i="2"/>
  <c r="N905" i="2"/>
  <c r="N915" i="2"/>
  <c r="M926" i="2"/>
  <c r="N926" i="2" s="1"/>
  <c r="N947" i="2"/>
  <c r="N995" i="2"/>
  <c r="M1022" i="2"/>
  <c r="N1022" i="2"/>
  <c r="N1040" i="2"/>
  <c r="M1054" i="2"/>
  <c r="N1054" i="2"/>
  <c r="N1075" i="2"/>
  <c r="N1123" i="2"/>
  <c r="M1150" i="2"/>
  <c r="N1150" i="2" s="1"/>
  <c r="N1168" i="2"/>
  <c r="M1182" i="2"/>
  <c r="N1182" i="2"/>
  <c r="N881" i="2"/>
  <c r="M942" i="2"/>
  <c r="N942" i="2" s="1"/>
  <c r="N1001" i="2"/>
  <c r="N1011" i="2"/>
  <c r="M1070" i="2"/>
  <c r="N1070" i="2" s="1"/>
  <c r="N1129" i="2"/>
  <c r="N1139" i="2"/>
  <c r="M1198" i="2"/>
  <c r="N1198" i="2" s="1"/>
  <c r="N897" i="2"/>
  <c r="N939" i="2"/>
  <c r="N955" i="2"/>
  <c r="N971" i="2"/>
  <c r="N987" i="2"/>
  <c r="N1003" i="2"/>
  <c r="N1019" i="2"/>
  <c r="N1035" i="2"/>
  <c r="N1051" i="2"/>
  <c r="N1067" i="2"/>
  <c r="N1083" i="2"/>
  <c r="N1099" i="2"/>
  <c r="N1115" i="2"/>
  <c r="N1131" i="2"/>
  <c r="N1147" i="2"/>
  <c r="N1163" i="2"/>
  <c r="N1179" i="2"/>
  <c r="N1195" i="2"/>
</calcChain>
</file>

<file path=xl/sharedStrings.xml><?xml version="1.0" encoding="utf-8"?>
<sst xmlns="http://schemas.openxmlformats.org/spreadsheetml/2006/main" count="8510" uniqueCount="1301">
  <si>
    <t>NorthPeak Distribution Co. - Sales Performance Analysis</t>
  </si>
  <si>
    <t>Portfolio dataset: FY2025 sales, generated with realistic, formula-linked business logic.</t>
  </si>
  <si>
    <t>Business Scenario</t>
  </si>
  <si>
    <t>•</t>
  </si>
  <si>
    <t>NorthPeak Distribution Co. is a mid-market B2B/B2C distributor of technology and office solutions operating across four US regions, selling through Online, Retail Partner, and Direct Sales channels to Consumer, SMB, and Enterprise customers.</t>
  </si>
  <si>
    <t>Scope</t>
  </si>
  <si>
    <t>Sales_Data contains 1,200 orders covering all 12 months of 2025, with unique Order IDs formatted ORD-2025-00001 through ORD-2025-01200.</t>
  </si>
  <si>
    <t>Products contains 20 SKUs across 4 categories (Electronics, Accessories, Office Equipment, Software), each with a Standard Price used as the pricing basis.</t>
  </si>
  <si>
    <t>Monthly_Targets contains 12 rows (Jan-Dec 2025); Sales is a live formula that sums actual order-level Sales from Sales_Data for that month, so it updates automatically if the underlying data changes. Sales Target is a manually set planning figure for comparison.</t>
  </si>
  <si>
    <t>Pricing &amp; Discount Logic</t>
  </si>
  <si>
    <t>Unit Price = Product Standard Price adjusted by small order-level variance (+/-4%) and a channel effect (Online 1.00x, Retail Partner 0.97x, Direct Sales 0.98x, reflecting wholesale/negotiated pricing).</t>
  </si>
  <si>
    <t>Discount % varies by Customer Segment: Consumer 0-8%, SMB 5-15%, Enterprise 10-25%, with a small channel adjustment (Direct Sales +2%, Online -1%), reflecting that larger buyers negotiate harder.</t>
  </si>
  <si>
    <t>Units per order scale with segment: Consumer 1-3, SMB 3-10, Enterprise 8-40.</t>
  </si>
  <si>
    <t>Cost &amp; Profitability Logic</t>
  </si>
  <si>
    <t>Cost is driven by category-specific gross-margin structure, expressed as a cost ratio applied to each order's Sales value (Cost = Sales x Cost Ratio): Software ~20-28% (high-margin, digital), Accessories ~55-62%, Office Equipment ~60-68%, Electronics ~68-74% (thin-margin, hardware-heavy). Each order's ratio includes small realistic variance around these category bases.</t>
  </si>
  <si>
    <t>Profit = Sales - Cost, calculated per order and aggregable across any dimension.</t>
  </si>
  <si>
    <t>Seasonality</t>
  </si>
  <si>
    <t>Order volume follows a realistic seasonal curve: slow start in Jan-Feb, steady growth through mid-year, a back-to-office/school bump in Aug-Sep, and the strongest volume in Nov-Dec (holiday demand).</t>
  </si>
  <si>
    <t>Monthly Sales Targets were set as a smoothed version of realistic monthly plan figures and intentionally do not perfectly track actuals - some months beat target, some miss it, as in a real business.</t>
  </si>
  <si>
    <t>Formula Integrity</t>
  </si>
  <si>
    <t>Sales_Data: Sales = Units x Unit Price x (1 - Discount %); Cost = Sales x order-level Cost Ratio (rounded); Profit = Sales - Cost. All three are live formulas, not hardcoded values.</t>
  </si>
  <si>
    <t>Monthly_Targets: Sales is a SUMPRODUCT formula that filters Sales_Data by year and month and sums the Sales column - it will recalculate automatically if any order in Sales_Data is added, changed, or removed.</t>
  </si>
  <si>
    <t>Intended Use</t>
  </si>
  <si>
    <t>This workbook is designed to support Excel PivotTable/dashboard analysis, SQL practice (import Sales_Data, Products, Monthly_Targets as relational tables), and Power BI modeling (Sales_Data as fact table, Products and Monthly_Targets as dimension/reference tables).</t>
  </si>
  <si>
    <t>Order ID</t>
  </si>
  <si>
    <t>Order Date</t>
  </si>
  <si>
    <t>Region</t>
  </si>
  <si>
    <t>Category</t>
  </si>
  <si>
    <t>Product</t>
  </si>
  <si>
    <t>Customer Segment</t>
  </si>
  <si>
    <t>Sales Channel</t>
  </si>
  <si>
    <t>Salesperson</t>
  </si>
  <si>
    <t>Units</t>
  </si>
  <si>
    <t>Unit Price</t>
  </si>
  <si>
    <t>Discount %</t>
  </si>
  <si>
    <t>Sales</t>
  </si>
  <si>
    <t>Cost</t>
  </si>
  <si>
    <t>Profit</t>
  </si>
  <si>
    <t>ORD-2025-00001</t>
  </si>
  <si>
    <t>Northeast</t>
  </si>
  <si>
    <t>Office Equipment</t>
  </si>
  <si>
    <t>Standing Desk</t>
  </si>
  <si>
    <t>Enterprise</t>
  </si>
  <si>
    <t>Direct Sales</t>
  </si>
  <si>
    <t>Daniel Brooks</t>
  </si>
  <si>
    <t>ORD-2025-00002</t>
  </si>
  <si>
    <t>Southeast</t>
  </si>
  <si>
    <t>Laser Printer</t>
  </si>
  <si>
    <t>Consumer</t>
  </si>
  <si>
    <t>Retail Partner</t>
  </si>
  <si>
    <t>Maria Gonzalez</t>
  </si>
  <si>
    <t>ORD-2025-00003</t>
  </si>
  <si>
    <t>West</t>
  </si>
  <si>
    <t>Electronics</t>
  </si>
  <si>
    <t>Laptop Pro 14</t>
  </si>
  <si>
    <t>Online</t>
  </si>
  <si>
    <t>Online Store - West</t>
  </si>
  <si>
    <t>ORD-2025-00004</t>
  </si>
  <si>
    <t>Tablet Pro 11</t>
  </si>
  <si>
    <t>SMB</t>
  </si>
  <si>
    <t>Emily Carter</t>
  </si>
  <si>
    <t>ORD-2025-00005</t>
  </si>
  <si>
    <t>All-in-One Printer</t>
  </si>
  <si>
    <t>ORD-2025-00006</t>
  </si>
  <si>
    <t>Sophia Martinez</t>
  </si>
  <si>
    <t>ORD-2025-00007</t>
  </si>
  <si>
    <t>Accessories</t>
  </si>
  <si>
    <t>Mechanical Keyboard</t>
  </si>
  <si>
    <t>ORD-2025-00008</t>
  </si>
  <si>
    <t>Software</t>
  </si>
  <si>
    <t>Productivity Suite License</t>
  </si>
  <si>
    <t>Rachel Adams</t>
  </si>
  <si>
    <t>ORD-2025-00009</t>
  </si>
  <si>
    <t>Wireless Mouse</t>
  </si>
  <si>
    <t>Online Store - Southeast</t>
  </si>
  <si>
    <t>ORD-2025-00010</t>
  </si>
  <si>
    <t>Midwest</t>
  </si>
  <si>
    <t>Wireless Headset</t>
  </si>
  <si>
    <t>Online Store - Midwest</t>
  </si>
  <si>
    <t>ORD-2025-00011</t>
  </si>
  <si>
    <t>ORD-2025-00012</t>
  </si>
  <si>
    <t>Ultrabook Air 13</t>
  </si>
  <si>
    <t>ORD-2025-00013</t>
  </si>
  <si>
    <t>Kevin O'Brien</t>
  </si>
  <si>
    <t>ORD-2025-00014</t>
  </si>
  <si>
    <t>ORD-2025-00015</t>
  </si>
  <si>
    <t>ORD-2025-00016</t>
  </si>
  <si>
    <t>Business Desktop Tower</t>
  </si>
  <si>
    <t>ORD-2025-00017</t>
  </si>
  <si>
    <t>ORD-2025-00018</t>
  </si>
  <si>
    <t>ORD-2025-00019</t>
  </si>
  <si>
    <t>Paper Shredder</t>
  </si>
  <si>
    <t>ORD-2025-00020</t>
  </si>
  <si>
    <t>ORD-2025-00021</t>
  </si>
  <si>
    <t>ORD-2025-00022</t>
  </si>
  <si>
    <t>James Whitfield</t>
  </si>
  <si>
    <t>ORD-2025-00023</t>
  </si>
  <si>
    <t>ORD-2025-00024</t>
  </si>
  <si>
    <t>Laptop Sleeve 14-inch</t>
  </si>
  <si>
    <t>ORD-2025-00025</t>
  </si>
  <si>
    <t>ORD-2025-00026</t>
  </si>
  <si>
    <t>ORD-2025-00027</t>
  </si>
  <si>
    <t>ORD-2025-00028</t>
  </si>
  <si>
    <t>ORD-2025-00029</t>
  </si>
  <si>
    <t>ORD-2025-00030</t>
  </si>
  <si>
    <t>27-inch 4K Monitor</t>
  </si>
  <si>
    <t>ORD-2025-00031</t>
  </si>
  <si>
    <t>Antivirus Security License</t>
  </si>
  <si>
    <t>Online Store - Northeast</t>
  </si>
  <si>
    <t>ORD-2025-00032</t>
  </si>
  <si>
    <t>Robert Chen</t>
  </si>
  <si>
    <t>ORD-2025-00033</t>
  </si>
  <si>
    <t>ORD-2025-00034</t>
  </si>
  <si>
    <t>Accounting Software License</t>
  </si>
  <si>
    <t>ORD-2025-00035</t>
  </si>
  <si>
    <t>ORD-2025-00036</t>
  </si>
  <si>
    <t>ORD-2025-00037</t>
  </si>
  <si>
    <t>ORD-2025-00038</t>
  </si>
  <si>
    <t>ORD-2025-00039</t>
  </si>
  <si>
    <t>Project Management License</t>
  </si>
  <si>
    <t>ORD-2025-00040</t>
  </si>
  <si>
    <t>ORD-2025-00041</t>
  </si>
  <si>
    <t>ORD-2025-00042</t>
  </si>
  <si>
    <t>ORD-2025-00043</t>
  </si>
  <si>
    <t>ORD-2025-00044</t>
  </si>
  <si>
    <t>ORD-2025-00045</t>
  </si>
  <si>
    <t>ORD-2025-00046</t>
  </si>
  <si>
    <t>ORD-2025-00047</t>
  </si>
  <si>
    <t>ORD-2025-00048</t>
  </si>
  <si>
    <t>ORD-2025-00049</t>
  </si>
  <si>
    <t>ORD-2025-00050</t>
  </si>
  <si>
    <t>ORD-2025-00051</t>
  </si>
  <si>
    <t>Cloud Backup Subscription</t>
  </si>
  <si>
    <t>ORD-2025-00052</t>
  </si>
  <si>
    <t>ORD-2025-00053</t>
  </si>
  <si>
    <t>ORD-2025-00054</t>
  </si>
  <si>
    <t>ORD-2025-00055</t>
  </si>
  <si>
    <t>USB-C Docking Station</t>
  </si>
  <si>
    <t>ORD-2025-00056</t>
  </si>
  <si>
    <t>Ergonomic Office Chair</t>
  </si>
  <si>
    <t>ORD-2025-00057</t>
  </si>
  <si>
    <t>ORD-2025-00058</t>
  </si>
  <si>
    <t>ORD-2025-00059</t>
  </si>
  <si>
    <t>ORD-2025-00060</t>
  </si>
  <si>
    <t>ORD-2025-00061</t>
  </si>
  <si>
    <t>ORD-2025-00062</t>
  </si>
  <si>
    <t>ORD-2025-00063</t>
  </si>
  <si>
    <t>ORD-2025-00064</t>
  </si>
  <si>
    <t>ORD-2025-00065</t>
  </si>
  <si>
    <t>ORD-2025-00066</t>
  </si>
  <si>
    <t>ORD-2025-00067</t>
  </si>
  <si>
    <t>Laura Kim</t>
  </si>
  <si>
    <t>ORD-2025-00068</t>
  </si>
  <si>
    <t>ORD-2025-00069</t>
  </si>
  <si>
    <t>ORD-2025-00070</t>
  </si>
  <si>
    <t>ORD-2025-00071</t>
  </si>
  <si>
    <t>ORD-2025-00072</t>
  </si>
  <si>
    <t>ORD-2025-00073</t>
  </si>
  <si>
    <t>ORD-2025-00074</t>
  </si>
  <si>
    <t>ORD-2025-00075</t>
  </si>
  <si>
    <t>ORD-2025-00076</t>
  </si>
  <si>
    <t>ORD-2025-00077</t>
  </si>
  <si>
    <t>ORD-2025-00078</t>
  </si>
  <si>
    <t>ORD-2025-00079</t>
  </si>
  <si>
    <t>ORD-2025-00080</t>
  </si>
  <si>
    <t>ORD-2025-00081</t>
  </si>
  <si>
    <t>ORD-2025-00082</t>
  </si>
  <si>
    <t>ORD-2025-00083</t>
  </si>
  <si>
    <t>ORD-2025-00084</t>
  </si>
  <si>
    <t>ORD-2025-00085</t>
  </si>
  <si>
    <t>ORD-2025-00086</t>
  </si>
  <si>
    <t>ORD-2025-00087</t>
  </si>
  <si>
    <t>ORD-2025-00088</t>
  </si>
  <si>
    <t>ORD-2025-00089</t>
  </si>
  <si>
    <t>ORD-2025-00090</t>
  </si>
  <si>
    <t>ORD-2025-00091</t>
  </si>
  <si>
    <t>ORD-2025-00092</t>
  </si>
  <si>
    <t>ORD-2025-00093</t>
  </si>
  <si>
    <t>ORD-2025-00094</t>
  </si>
  <si>
    <t>ORD-2025-00095</t>
  </si>
  <si>
    <t>ORD-2025-00096</t>
  </si>
  <si>
    <t>ORD-2025-00097</t>
  </si>
  <si>
    <t>ORD-2025-00098</t>
  </si>
  <si>
    <t>ORD-2025-00099</t>
  </si>
  <si>
    <t>ORD-2025-00100</t>
  </si>
  <si>
    <t>ORD-2025-00101</t>
  </si>
  <si>
    <t>ORD-2025-00102</t>
  </si>
  <si>
    <t>ORD-2025-00103</t>
  </si>
  <si>
    <t>ORD-2025-00104</t>
  </si>
  <si>
    <t>ORD-2025-00105</t>
  </si>
  <si>
    <t>ORD-2025-00106</t>
  </si>
  <si>
    <t>ORD-2025-00107</t>
  </si>
  <si>
    <t>ORD-2025-00108</t>
  </si>
  <si>
    <t>ORD-2025-00109</t>
  </si>
  <si>
    <t>ORD-2025-00110</t>
  </si>
  <si>
    <t>ORD-2025-00111</t>
  </si>
  <si>
    <t>ORD-2025-00112</t>
  </si>
  <si>
    <t>ORD-2025-00113</t>
  </si>
  <si>
    <t>ORD-2025-00114</t>
  </si>
  <si>
    <t>ORD-2025-00115</t>
  </si>
  <si>
    <t>ORD-2025-00116</t>
  </si>
  <si>
    <t>ORD-2025-00117</t>
  </si>
  <si>
    <t>ORD-2025-00118</t>
  </si>
  <si>
    <t>ORD-2025-00119</t>
  </si>
  <si>
    <t>ORD-2025-00120</t>
  </si>
  <si>
    <t>ORD-2025-00121</t>
  </si>
  <si>
    <t>ORD-2025-00122</t>
  </si>
  <si>
    <t>ORD-2025-00123</t>
  </si>
  <si>
    <t>ORD-2025-00124</t>
  </si>
  <si>
    <t>ORD-2025-00125</t>
  </si>
  <si>
    <t>ORD-2025-00126</t>
  </si>
  <si>
    <t>ORD-2025-00127</t>
  </si>
  <si>
    <t>ORD-2025-00128</t>
  </si>
  <si>
    <t>ORD-2025-00129</t>
  </si>
  <si>
    <t>ORD-2025-00130</t>
  </si>
  <si>
    <t>ORD-2025-00131</t>
  </si>
  <si>
    <t>ORD-2025-00132</t>
  </si>
  <si>
    <t>ORD-2025-00133</t>
  </si>
  <si>
    <t>ORD-2025-00134</t>
  </si>
  <si>
    <t>ORD-2025-00135</t>
  </si>
  <si>
    <t>ORD-2025-00136</t>
  </si>
  <si>
    <t>ORD-2025-00137</t>
  </si>
  <si>
    <t>ORD-2025-00138</t>
  </si>
  <si>
    <t>ORD-2025-00139</t>
  </si>
  <si>
    <t>ORD-2025-00140</t>
  </si>
  <si>
    <t>ORD-2025-00141</t>
  </si>
  <si>
    <t>ORD-2025-00142</t>
  </si>
  <si>
    <t>ORD-2025-00143</t>
  </si>
  <si>
    <t>ORD-2025-00144</t>
  </si>
  <si>
    <t>ORD-2025-00145</t>
  </si>
  <si>
    <t>ORD-2025-00146</t>
  </si>
  <si>
    <t>ORD-2025-00147</t>
  </si>
  <si>
    <t>ORD-2025-00148</t>
  </si>
  <si>
    <t>ORD-2025-00149</t>
  </si>
  <si>
    <t>ORD-2025-00150</t>
  </si>
  <si>
    <t>ORD-2025-00151</t>
  </si>
  <si>
    <t>ORD-2025-00152</t>
  </si>
  <si>
    <t>ORD-2025-00153</t>
  </si>
  <si>
    <t>ORD-2025-00154</t>
  </si>
  <si>
    <t>ORD-2025-00155</t>
  </si>
  <si>
    <t>ORD-2025-00156</t>
  </si>
  <si>
    <t>ORD-2025-00157</t>
  </si>
  <si>
    <t>ORD-2025-00158</t>
  </si>
  <si>
    <t>ORD-2025-00159</t>
  </si>
  <si>
    <t>ORD-2025-00160</t>
  </si>
  <si>
    <t>ORD-2025-00161</t>
  </si>
  <si>
    <t>ORD-2025-00162</t>
  </si>
  <si>
    <t>ORD-2025-00163</t>
  </si>
  <si>
    <t>ORD-2025-00164</t>
  </si>
  <si>
    <t>ORD-2025-00165</t>
  </si>
  <si>
    <t>ORD-2025-00166</t>
  </si>
  <si>
    <t>ORD-2025-00167</t>
  </si>
  <si>
    <t>ORD-2025-00168</t>
  </si>
  <si>
    <t>ORD-2025-00169</t>
  </si>
  <si>
    <t>ORD-2025-00170</t>
  </si>
  <si>
    <t>ORD-2025-00171</t>
  </si>
  <si>
    <t>ORD-2025-00172</t>
  </si>
  <si>
    <t>ORD-2025-00173</t>
  </si>
  <si>
    <t>ORD-2025-00174</t>
  </si>
  <si>
    <t>ORD-2025-00175</t>
  </si>
  <si>
    <t>ORD-2025-00176</t>
  </si>
  <si>
    <t>ORD-2025-00177</t>
  </si>
  <si>
    <t>ORD-2025-00178</t>
  </si>
  <si>
    <t>ORD-2025-00179</t>
  </si>
  <si>
    <t>ORD-2025-00180</t>
  </si>
  <si>
    <t>ORD-2025-00181</t>
  </si>
  <si>
    <t>ORD-2025-00182</t>
  </si>
  <si>
    <t>ORD-2025-00183</t>
  </si>
  <si>
    <t>ORD-2025-00184</t>
  </si>
  <si>
    <t>ORD-2025-00185</t>
  </si>
  <si>
    <t>ORD-2025-00186</t>
  </si>
  <si>
    <t>ORD-2025-00187</t>
  </si>
  <si>
    <t>ORD-2025-00188</t>
  </si>
  <si>
    <t>ORD-2025-00189</t>
  </si>
  <si>
    <t>ORD-2025-00190</t>
  </si>
  <si>
    <t>ORD-2025-00191</t>
  </si>
  <si>
    <t>ORD-2025-00192</t>
  </si>
  <si>
    <t>ORD-2025-00193</t>
  </si>
  <si>
    <t>ORD-2025-00194</t>
  </si>
  <si>
    <t>ORD-2025-00195</t>
  </si>
  <si>
    <t>ORD-2025-00196</t>
  </si>
  <si>
    <t>ORD-2025-00197</t>
  </si>
  <si>
    <t>ORD-2025-00198</t>
  </si>
  <si>
    <t>ORD-2025-00199</t>
  </si>
  <si>
    <t>ORD-2025-00200</t>
  </si>
  <si>
    <t>ORD-2025-00201</t>
  </si>
  <si>
    <t>ORD-2025-00202</t>
  </si>
  <si>
    <t>ORD-2025-00203</t>
  </si>
  <si>
    <t>ORD-2025-00204</t>
  </si>
  <si>
    <t>ORD-2025-00205</t>
  </si>
  <si>
    <t>ORD-2025-00206</t>
  </si>
  <si>
    <t>ORD-2025-00207</t>
  </si>
  <si>
    <t>ORD-2025-00208</t>
  </si>
  <si>
    <t>ORD-2025-00209</t>
  </si>
  <si>
    <t>ORD-2025-00210</t>
  </si>
  <si>
    <t>ORD-2025-00211</t>
  </si>
  <si>
    <t>ORD-2025-00212</t>
  </si>
  <si>
    <t>ORD-2025-00213</t>
  </si>
  <si>
    <t>ORD-2025-00214</t>
  </si>
  <si>
    <t>ORD-2025-00215</t>
  </si>
  <si>
    <t>ORD-2025-00216</t>
  </si>
  <si>
    <t>ORD-2025-00217</t>
  </si>
  <si>
    <t>ORD-2025-00218</t>
  </si>
  <si>
    <t>ORD-2025-00219</t>
  </si>
  <si>
    <t>ORD-2025-00220</t>
  </si>
  <si>
    <t>ORD-2025-00221</t>
  </si>
  <si>
    <t>ORD-2025-00222</t>
  </si>
  <si>
    <t>ORD-2025-00223</t>
  </si>
  <si>
    <t>ORD-2025-00224</t>
  </si>
  <si>
    <t>ORD-2025-00225</t>
  </si>
  <si>
    <t>ORD-2025-00226</t>
  </si>
  <si>
    <t>ORD-2025-00227</t>
  </si>
  <si>
    <t>ORD-2025-00228</t>
  </si>
  <si>
    <t>ORD-2025-00229</t>
  </si>
  <si>
    <t>ORD-2025-00230</t>
  </si>
  <si>
    <t>ORD-2025-00231</t>
  </si>
  <si>
    <t>ORD-2025-00232</t>
  </si>
  <si>
    <t>ORD-2025-00233</t>
  </si>
  <si>
    <t>ORD-2025-00234</t>
  </si>
  <si>
    <t>ORD-2025-00235</t>
  </si>
  <si>
    <t>ORD-2025-00236</t>
  </si>
  <si>
    <t>ORD-2025-00237</t>
  </si>
  <si>
    <t>ORD-2025-00238</t>
  </si>
  <si>
    <t>ORD-2025-00239</t>
  </si>
  <si>
    <t>ORD-2025-00240</t>
  </si>
  <si>
    <t>ORD-2025-00241</t>
  </si>
  <si>
    <t>ORD-2025-00242</t>
  </si>
  <si>
    <t>ORD-2025-00243</t>
  </si>
  <si>
    <t>ORD-2025-00244</t>
  </si>
  <si>
    <t>ORD-2025-00245</t>
  </si>
  <si>
    <t>ORD-2025-00246</t>
  </si>
  <si>
    <t>ORD-2025-00247</t>
  </si>
  <si>
    <t>ORD-2025-00248</t>
  </si>
  <si>
    <t>ORD-2025-00249</t>
  </si>
  <si>
    <t>ORD-2025-00250</t>
  </si>
  <si>
    <t>ORD-2025-00251</t>
  </si>
  <si>
    <t>ORD-2025-00252</t>
  </si>
  <si>
    <t>ORD-2025-00253</t>
  </si>
  <si>
    <t>ORD-2025-00254</t>
  </si>
  <si>
    <t>ORD-2025-00255</t>
  </si>
  <si>
    <t>ORD-2025-00256</t>
  </si>
  <si>
    <t>ORD-2025-00257</t>
  </si>
  <si>
    <t>ORD-2025-00258</t>
  </si>
  <si>
    <t>ORD-2025-00259</t>
  </si>
  <si>
    <t>ORD-2025-00260</t>
  </si>
  <si>
    <t>ORD-2025-00261</t>
  </si>
  <si>
    <t>ORD-2025-00262</t>
  </si>
  <si>
    <t>ORD-2025-00263</t>
  </si>
  <si>
    <t>ORD-2025-00264</t>
  </si>
  <si>
    <t>ORD-2025-00265</t>
  </si>
  <si>
    <t>ORD-2025-00266</t>
  </si>
  <si>
    <t>ORD-2025-00267</t>
  </si>
  <si>
    <t>ORD-2025-00268</t>
  </si>
  <si>
    <t>ORD-2025-00269</t>
  </si>
  <si>
    <t>ORD-2025-00270</t>
  </si>
  <si>
    <t>ORD-2025-00271</t>
  </si>
  <si>
    <t>ORD-2025-00272</t>
  </si>
  <si>
    <t>ORD-2025-00273</t>
  </si>
  <si>
    <t>ORD-2025-00274</t>
  </si>
  <si>
    <t>ORD-2025-00275</t>
  </si>
  <si>
    <t>ORD-2025-00276</t>
  </si>
  <si>
    <t>ORD-2025-00277</t>
  </si>
  <si>
    <t>ORD-2025-00278</t>
  </si>
  <si>
    <t>ORD-2025-00279</t>
  </si>
  <si>
    <t>ORD-2025-00280</t>
  </si>
  <si>
    <t>ORD-2025-00281</t>
  </si>
  <si>
    <t>ORD-2025-00282</t>
  </si>
  <si>
    <t>ORD-2025-00283</t>
  </si>
  <si>
    <t>ORD-2025-00284</t>
  </si>
  <si>
    <t>ORD-2025-00285</t>
  </si>
  <si>
    <t>ORD-2025-00286</t>
  </si>
  <si>
    <t>ORD-2025-00287</t>
  </si>
  <si>
    <t>ORD-2025-00288</t>
  </si>
  <si>
    <t>ORD-2025-00289</t>
  </si>
  <si>
    <t>ORD-2025-00290</t>
  </si>
  <si>
    <t>ORD-2025-00291</t>
  </si>
  <si>
    <t>ORD-2025-00292</t>
  </si>
  <si>
    <t>ORD-2025-00293</t>
  </si>
  <si>
    <t>ORD-2025-00294</t>
  </si>
  <si>
    <t>ORD-2025-00295</t>
  </si>
  <si>
    <t>ORD-2025-00296</t>
  </si>
  <si>
    <t>ORD-2025-00297</t>
  </si>
  <si>
    <t>ORD-2025-00298</t>
  </si>
  <si>
    <t>ORD-2025-00299</t>
  </si>
  <si>
    <t>ORD-2025-00300</t>
  </si>
  <si>
    <t>ORD-2025-00301</t>
  </si>
  <si>
    <t>ORD-2025-00302</t>
  </si>
  <si>
    <t>ORD-2025-00303</t>
  </si>
  <si>
    <t>ORD-2025-00304</t>
  </si>
  <si>
    <t>ORD-2025-00305</t>
  </si>
  <si>
    <t>ORD-2025-00306</t>
  </si>
  <si>
    <t>ORD-2025-00307</t>
  </si>
  <si>
    <t>ORD-2025-00308</t>
  </si>
  <si>
    <t>ORD-2025-00309</t>
  </si>
  <si>
    <t>ORD-2025-00310</t>
  </si>
  <si>
    <t>ORD-2025-00311</t>
  </si>
  <si>
    <t>ORD-2025-00312</t>
  </si>
  <si>
    <t>ORD-2025-00313</t>
  </si>
  <si>
    <t>ORD-2025-00314</t>
  </si>
  <si>
    <t>ORD-2025-00315</t>
  </si>
  <si>
    <t>ORD-2025-00316</t>
  </si>
  <si>
    <t>ORD-2025-00317</t>
  </si>
  <si>
    <t>ORD-2025-00318</t>
  </si>
  <si>
    <t>ORD-2025-00319</t>
  </si>
  <si>
    <t>ORD-2025-00320</t>
  </si>
  <si>
    <t>ORD-2025-00321</t>
  </si>
  <si>
    <t>ORD-2025-00322</t>
  </si>
  <si>
    <t>ORD-2025-00323</t>
  </si>
  <si>
    <t>ORD-2025-00324</t>
  </si>
  <si>
    <t>ORD-2025-00325</t>
  </si>
  <si>
    <t>ORD-2025-00326</t>
  </si>
  <si>
    <t>ORD-2025-00327</t>
  </si>
  <si>
    <t>ORD-2025-00328</t>
  </si>
  <si>
    <t>ORD-2025-00329</t>
  </si>
  <si>
    <t>ORD-2025-00330</t>
  </si>
  <si>
    <t>ORD-2025-00331</t>
  </si>
  <si>
    <t>ORD-2025-00332</t>
  </si>
  <si>
    <t>ORD-2025-00333</t>
  </si>
  <si>
    <t>ORD-2025-00334</t>
  </si>
  <si>
    <t>ORD-2025-00335</t>
  </si>
  <si>
    <t>ORD-2025-00336</t>
  </si>
  <si>
    <t>ORD-2025-00337</t>
  </si>
  <si>
    <t>ORD-2025-00338</t>
  </si>
  <si>
    <t>ORD-2025-00339</t>
  </si>
  <si>
    <t>ORD-2025-00340</t>
  </si>
  <si>
    <t>ORD-2025-00341</t>
  </si>
  <si>
    <t>ORD-2025-00342</t>
  </si>
  <si>
    <t>ORD-2025-00343</t>
  </si>
  <si>
    <t>ORD-2025-00344</t>
  </si>
  <si>
    <t>ORD-2025-00345</t>
  </si>
  <si>
    <t>ORD-2025-00346</t>
  </si>
  <si>
    <t>ORD-2025-00347</t>
  </si>
  <si>
    <t>ORD-2025-00348</t>
  </si>
  <si>
    <t>ORD-2025-00349</t>
  </si>
  <si>
    <t>ORD-2025-00350</t>
  </si>
  <si>
    <t>ORD-2025-00351</t>
  </si>
  <si>
    <t>ORD-2025-00352</t>
  </si>
  <si>
    <t>ORD-2025-00353</t>
  </si>
  <si>
    <t>ORD-2025-00354</t>
  </si>
  <si>
    <t>ORD-2025-00355</t>
  </si>
  <si>
    <t>ORD-2025-00356</t>
  </si>
  <si>
    <t>ORD-2025-00357</t>
  </si>
  <si>
    <t>ORD-2025-00358</t>
  </si>
  <si>
    <t>ORD-2025-00359</t>
  </si>
  <si>
    <t>ORD-2025-00360</t>
  </si>
  <si>
    <t>ORD-2025-00361</t>
  </si>
  <si>
    <t>ORD-2025-00362</t>
  </si>
  <si>
    <t>ORD-2025-00363</t>
  </si>
  <si>
    <t>ORD-2025-00364</t>
  </si>
  <si>
    <t>ORD-2025-00365</t>
  </si>
  <si>
    <t>ORD-2025-00366</t>
  </si>
  <si>
    <t>ORD-2025-00367</t>
  </si>
  <si>
    <t>ORD-2025-00368</t>
  </si>
  <si>
    <t>ORD-2025-00369</t>
  </si>
  <si>
    <t>ORD-2025-00370</t>
  </si>
  <si>
    <t>ORD-2025-00371</t>
  </si>
  <si>
    <t>ORD-2025-00372</t>
  </si>
  <si>
    <t>ORD-2025-00373</t>
  </si>
  <si>
    <t>ORD-2025-00374</t>
  </si>
  <si>
    <t>ORD-2025-00375</t>
  </si>
  <si>
    <t>ORD-2025-00376</t>
  </si>
  <si>
    <t>ORD-2025-00377</t>
  </si>
  <si>
    <t>ORD-2025-00378</t>
  </si>
  <si>
    <t>ORD-2025-00379</t>
  </si>
  <si>
    <t>ORD-2025-00380</t>
  </si>
  <si>
    <t>ORD-2025-00381</t>
  </si>
  <si>
    <t>ORD-2025-00382</t>
  </si>
  <si>
    <t>ORD-2025-00383</t>
  </si>
  <si>
    <t>ORD-2025-00384</t>
  </si>
  <si>
    <t>ORD-2025-00385</t>
  </si>
  <si>
    <t>ORD-2025-00386</t>
  </si>
  <si>
    <t>ORD-2025-00387</t>
  </si>
  <si>
    <t>ORD-2025-00388</t>
  </si>
  <si>
    <t>ORD-2025-00389</t>
  </si>
  <si>
    <t>ORD-2025-00390</t>
  </si>
  <si>
    <t>ORD-2025-00391</t>
  </si>
  <si>
    <t>ORD-2025-00392</t>
  </si>
  <si>
    <t>ORD-2025-00393</t>
  </si>
  <si>
    <t>ORD-2025-00394</t>
  </si>
  <si>
    <t>ORD-2025-00395</t>
  </si>
  <si>
    <t>ORD-2025-00396</t>
  </si>
  <si>
    <t>ORD-2025-00397</t>
  </si>
  <si>
    <t>ORD-2025-00398</t>
  </si>
  <si>
    <t>ORD-2025-00399</t>
  </si>
  <si>
    <t>ORD-2025-00400</t>
  </si>
  <si>
    <t>ORD-2025-00401</t>
  </si>
  <si>
    <t>ORD-2025-00402</t>
  </si>
  <si>
    <t>ORD-2025-00403</t>
  </si>
  <si>
    <t>ORD-2025-00404</t>
  </si>
  <si>
    <t>ORD-2025-00405</t>
  </si>
  <si>
    <t>ORD-2025-00406</t>
  </si>
  <si>
    <t>ORD-2025-00407</t>
  </si>
  <si>
    <t>ORD-2025-00408</t>
  </si>
  <si>
    <t>ORD-2025-00409</t>
  </si>
  <si>
    <t>ORD-2025-00410</t>
  </si>
  <si>
    <t>ORD-2025-00411</t>
  </si>
  <si>
    <t>ORD-2025-00412</t>
  </si>
  <si>
    <t>ORD-2025-00413</t>
  </si>
  <si>
    <t>ORD-2025-00414</t>
  </si>
  <si>
    <t>ORD-2025-00415</t>
  </si>
  <si>
    <t>ORD-2025-00416</t>
  </si>
  <si>
    <t>ORD-2025-00417</t>
  </si>
  <si>
    <t>ORD-2025-00418</t>
  </si>
  <si>
    <t>ORD-2025-00419</t>
  </si>
  <si>
    <t>ORD-2025-00420</t>
  </si>
  <si>
    <t>ORD-2025-00421</t>
  </si>
  <si>
    <t>ORD-2025-00422</t>
  </si>
  <si>
    <t>ORD-2025-00423</t>
  </si>
  <si>
    <t>ORD-2025-00424</t>
  </si>
  <si>
    <t>ORD-2025-00425</t>
  </si>
  <si>
    <t>ORD-2025-00426</t>
  </si>
  <si>
    <t>ORD-2025-00427</t>
  </si>
  <si>
    <t>ORD-2025-00428</t>
  </si>
  <si>
    <t>ORD-2025-00429</t>
  </si>
  <si>
    <t>ORD-2025-00430</t>
  </si>
  <si>
    <t>ORD-2025-00431</t>
  </si>
  <si>
    <t>ORD-2025-00432</t>
  </si>
  <si>
    <t>ORD-2025-00433</t>
  </si>
  <si>
    <t>ORD-2025-00434</t>
  </si>
  <si>
    <t>ORD-2025-00435</t>
  </si>
  <si>
    <t>ORD-2025-00436</t>
  </si>
  <si>
    <t>ORD-2025-00437</t>
  </si>
  <si>
    <t>ORD-2025-00438</t>
  </si>
  <si>
    <t>ORD-2025-00439</t>
  </si>
  <si>
    <t>ORD-2025-00440</t>
  </si>
  <si>
    <t>ORD-2025-00441</t>
  </si>
  <si>
    <t>ORD-2025-00442</t>
  </si>
  <si>
    <t>ORD-2025-00443</t>
  </si>
  <si>
    <t>ORD-2025-00444</t>
  </si>
  <si>
    <t>ORD-2025-00445</t>
  </si>
  <si>
    <t>ORD-2025-00446</t>
  </si>
  <si>
    <t>ORD-2025-00447</t>
  </si>
  <si>
    <t>ORD-2025-00448</t>
  </si>
  <si>
    <t>ORD-2025-00449</t>
  </si>
  <si>
    <t>ORD-2025-00450</t>
  </si>
  <si>
    <t>ORD-2025-00451</t>
  </si>
  <si>
    <t>ORD-2025-00452</t>
  </si>
  <si>
    <t>ORD-2025-00453</t>
  </si>
  <si>
    <t>ORD-2025-00454</t>
  </si>
  <si>
    <t>ORD-2025-00455</t>
  </si>
  <si>
    <t>ORD-2025-00456</t>
  </si>
  <si>
    <t>ORD-2025-00457</t>
  </si>
  <si>
    <t>ORD-2025-00458</t>
  </si>
  <si>
    <t>ORD-2025-00459</t>
  </si>
  <si>
    <t>ORD-2025-00460</t>
  </si>
  <si>
    <t>ORD-2025-00461</t>
  </si>
  <si>
    <t>ORD-2025-00462</t>
  </si>
  <si>
    <t>ORD-2025-00463</t>
  </si>
  <si>
    <t>ORD-2025-00464</t>
  </si>
  <si>
    <t>ORD-2025-00465</t>
  </si>
  <si>
    <t>ORD-2025-00466</t>
  </si>
  <si>
    <t>ORD-2025-00467</t>
  </si>
  <si>
    <t>ORD-2025-00468</t>
  </si>
  <si>
    <t>ORD-2025-00469</t>
  </si>
  <si>
    <t>ORD-2025-00470</t>
  </si>
  <si>
    <t>ORD-2025-00471</t>
  </si>
  <si>
    <t>ORD-2025-00472</t>
  </si>
  <si>
    <t>ORD-2025-00473</t>
  </si>
  <si>
    <t>ORD-2025-00474</t>
  </si>
  <si>
    <t>ORD-2025-00475</t>
  </si>
  <si>
    <t>ORD-2025-00476</t>
  </si>
  <si>
    <t>ORD-2025-00477</t>
  </si>
  <si>
    <t>ORD-2025-00478</t>
  </si>
  <si>
    <t>ORD-2025-00479</t>
  </si>
  <si>
    <t>ORD-2025-00480</t>
  </si>
  <si>
    <t>ORD-2025-00481</t>
  </si>
  <si>
    <t>ORD-2025-00482</t>
  </si>
  <si>
    <t>ORD-2025-00483</t>
  </si>
  <si>
    <t>ORD-2025-00484</t>
  </si>
  <si>
    <t>ORD-2025-00485</t>
  </si>
  <si>
    <t>ORD-2025-00486</t>
  </si>
  <si>
    <t>ORD-2025-00487</t>
  </si>
  <si>
    <t>ORD-2025-00488</t>
  </si>
  <si>
    <t>ORD-2025-00489</t>
  </si>
  <si>
    <t>ORD-2025-00490</t>
  </si>
  <si>
    <t>ORD-2025-00491</t>
  </si>
  <si>
    <t>ORD-2025-00492</t>
  </si>
  <si>
    <t>ORD-2025-00493</t>
  </si>
  <si>
    <t>ORD-2025-00494</t>
  </si>
  <si>
    <t>ORD-2025-00495</t>
  </si>
  <si>
    <t>ORD-2025-00496</t>
  </si>
  <si>
    <t>ORD-2025-00497</t>
  </si>
  <si>
    <t>ORD-2025-00498</t>
  </si>
  <si>
    <t>ORD-2025-00499</t>
  </si>
  <si>
    <t>ORD-2025-00500</t>
  </si>
  <si>
    <t>ORD-2025-00501</t>
  </si>
  <si>
    <t>ORD-2025-00502</t>
  </si>
  <si>
    <t>ORD-2025-00503</t>
  </si>
  <si>
    <t>ORD-2025-00504</t>
  </si>
  <si>
    <t>ORD-2025-00505</t>
  </si>
  <si>
    <t>ORD-2025-00506</t>
  </si>
  <si>
    <t>ORD-2025-00507</t>
  </si>
  <si>
    <t>ORD-2025-00508</t>
  </si>
  <si>
    <t>ORD-2025-00509</t>
  </si>
  <si>
    <t>ORD-2025-00510</t>
  </si>
  <si>
    <t>ORD-2025-00511</t>
  </si>
  <si>
    <t>ORD-2025-00512</t>
  </si>
  <si>
    <t>ORD-2025-00513</t>
  </si>
  <si>
    <t>ORD-2025-00514</t>
  </si>
  <si>
    <t>ORD-2025-00515</t>
  </si>
  <si>
    <t>ORD-2025-00516</t>
  </si>
  <si>
    <t>ORD-2025-00517</t>
  </si>
  <si>
    <t>ORD-2025-00518</t>
  </si>
  <si>
    <t>ORD-2025-00519</t>
  </si>
  <si>
    <t>ORD-2025-00520</t>
  </si>
  <si>
    <t>ORD-2025-00521</t>
  </si>
  <si>
    <t>ORD-2025-00522</t>
  </si>
  <si>
    <t>ORD-2025-00523</t>
  </si>
  <si>
    <t>ORD-2025-00524</t>
  </si>
  <si>
    <t>ORD-2025-00525</t>
  </si>
  <si>
    <t>ORD-2025-00526</t>
  </si>
  <si>
    <t>ORD-2025-00527</t>
  </si>
  <si>
    <t>ORD-2025-00528</t>
  </si>
  <si>
    <t>ORD-2025-00529</t>
  </si>
  <si>
    <t>ORD-2025-00530</t>
  </si>
  <si>
    <t>ORD-2025-00531</t>
  </si>
  <si>
    <t>ORD-2025-00532</t>
  </si>
  <si>
    <t>ORD-2025-00533</t>
  </si>
  <si>
    <t>ORD-2025-00534</t>
  </si>
  <si>
    <t>ORD-2025-00535</t>
  </si>
  <si>
    <t>ORD-2025-00536</t>
  </si>
  <si>
    <t>ORD-2025-00537</t>
  </si>
  <si>
    <t>ORD-2025-00538</t>
  </si>
  <si>
    <t>ORD-2025-00539</t>
  </si>
  <si>
    <t>ORD-2025-00540</t>
  </si>
  <si>
    <t>ORD-2025-00541</t>
  </si>
  <si>
    <t>ORD-2025-00542</t>
  </si>
  <si>
    <t>ORD-2025-00543</t>
  </si>
  <si>
    <t>ORD-2025-00544</t>
  </si>
  <si>
    <t>ORD-2025-00545</t>
  </si>
  <si>
    <t>ORD-2025-00546</t>
  </si>
  <si>
    <t>ORD-2025-00547</t>
  </si>
  <si>
    <t>ORD-2025-00548</t>
  </si>
  <si>
    <t>ORD-2025-00549</t>
  </si>
  <si>
    <t>ORD-2025-00550</t>
  </si>
  <si>
    <t>ORD-2025-00551</t>
  </si>
  <si>
    <t>ORD-2025-00552</t>
  </si>
  <si>
    <t>ORD-2025-00553</t>
  </si>
  <si>
    <t>ORD-2025-00554</t>
  </si>
  <si>
    <t>ORD-2025-00555</t>
  </si>
  <si>
    <t>ORD-2025-00556</t>
  </si>
  <si>
    <t>ORD-2025-00557</t>
  </si>
  <si>
    <t>ORD-2025-00558</t>
  </si>
  <si>
    <t>ORD-2025-00559</t>
  </si>
  <si>
    <t>ORD-2025-00560</t>
  </si>
  <si>
    <t>ORD-2025-00561</t>
  </si>
  <si>
    <t>ORD-2025-00562</t>
  </si>
  <si>
    <t>ORD-2025-00563</t>
  </si>
  <si>
    <t>ORD-2025-00564</t>
  </si>
  <si>
    <t>ORD-2025-00565</t>
  </si>
  <si>
    <t>ORD-2025-00566</t>
  </si>
  <si>
    <t>ORD-2025-00567</t>
  </si>
  <si>
    <t>ORD-2025-00568</t>
  </si>
  <si>
    <t>ORD-2025-00569</t>
  </si>
  <si>
    <t>ORD-2025-00570</t>
  </si>
  <si>
    <t>ORD-2025-00571</t>
  </si>
  <si>
    <t>ORD-2025-00572</t>
  </si>
  <si>
    <t>ORD-2025-00573</t>
  </si>
  <si>
    <t>ORD-2025-00574</t>
  </si>
  <si>
    <t>ORD-2025-00575</t>
  </si>
  <si>
    <t>ORD-2025-00576</t>
  </si>
  <si>
    <t>ORD-2025-00577</t>
  </si>
  <si>
    <t>ORD-2025-00578</t>
  </si>
  <si>
    <t>ORD-2025-00579</t>
  </si>
  <si>
    <t>ORD-2025-00580</t>
  </si>
  <si>
    <t>ORD-2025-00581</t>
  </si>
  <si>
    <t>ORD-2025-00582</t>
  </si>
  <si>
    <t>ORD-2025-00583</t>
  </si>
  <si>
    <t>ORD-2025-00584</t>
  </si>
  <si>
    <t>ORD-2025-00585</t>
  </si>
  <si>
    <t>ORD-2025-00586</t>
  </si>
  <si>
    <t>ORD-2025-00587</t>
  </si>
  <si>
    <t>ORD-2025-00588</t>
  </si>
  <si>
    <t>ORD-2025-00589</t>
  </si>
  <si>
    <t>ORD-2025-00590</t>
  </si>
  <si>
    <t>ORD-2025-00591</t>
  </si>
  <si>
    <t>ORD-2025-00592</t>
  </si>
  <si>
    <t>ORD-2025-00593</t>
  </si>
  <si>
    <t>ORD-2025-00594</t>
  </si>
  <si>
    <t>ORD-2025-00595</t>
  </si>
  <si>
    <t>ORD-2025-00596</t>
  </si>
  <si>
    <t>ORD-2025-00597</t>
  </si>
  <si>
    <t>ORD-2025-00598</t>
  </si>
  <si>
    <t>ORD-2025-00599</t>
  </si>
  <si>
    <t>ORD-2025-00600</t>
  </si>
  <si>
    <t>ORD-2025-00601</t>
  </si>
  <si>
    <t>ORD-2025-00602</t>
  </si>
  <si>
    <t>ORD-2025-00603</t>
  </si>
  <si>
    <t>ORD-2025-00604</t>
  </si>
  <si>
    <t>ORD-2025-00605</t>
  </si>
  <si>
    <t>ORD-2025-00606</t>
  </si>
  <si>
    <t>ORD-2025-00607</t>
  </si>
  <si>
    <t>ORD-2025-00608</t>
  </si>
  <si>
    <t>ORD-2025-00609</t>
  </si>
  <si>
    <t>ORD-2025-00610</t>
  </si>
  <si>
    <t>ORD-2025-00611</t>
  </si>
  <si>
    <t>ORD-2025-00612</t>
  </si>
  <si>
    <t>ORD-2025-00613</t>
  </si>
  <si>
    <t>ORD-2025-00614</t>
  </si>
  <si>
    <t>ORD-2025-00615</t>
  </si>
  <si>
    <t>ORD-2025-00616</t>
  </si>
  <si>
    <t>ORD-2025-00617</t>
  </si>
  <si>
    <t>ORD-2025-00618</t>
  </si>
  <si>
    <t>ORD-2025-00619</t>
  </si>
  <si>
    <t>ORD-2025-00620</t>
  </si>
  <si>
    <t>ORD-2025-00621</t>
  </si>
  <si>
    <t>ORD-2025-00622</t>
  </si>
  <si>
    <t>ORD-2025-00623</t>
  </si>
  <si>
    <t>ORD-2025-00624</t>
  </si>
  <si>
    <t>ORD-2025-00625</t>
  </si>
  <si>
    <t>ORD-2025-00626</t>
  </si>
  <si>
    <t>ORD-2025-00627</t>
  </si>
  <si>
    <t>ORD-2025-00628</t>
  </si>
  <si>
    <t>ORD-2025-00629</t>
  </si>
  <si>
    <t>ORD-2025-00630</t>
  </si>
  <si>
    <t>ORD-2025-00631</t>
  </si>
  <si>
    <t>ORD-2025-00632</t>
  </si>
  <si>
    <t>ORD-2025-00633</t>
  </si>
  <si>
    <t>ORD-2025-00634</t>
  </si>
  <si>
    <t>ORD-2025-00635</t>
  </si>
  <si>
    <t>ORD-2025-00636</t>
  </si>
  <si>
    <t>ORD-2025-00637</t>
  </si>
  <si>
    <t>ORD-2025-00638</t>
  </si>
  <si>
    <t>ORD-2025-00639</t>
  </si>
  <si>
    <t>ORD-2025-00640</t>
  </si>
  <si>
    <t>ORD-2025-00641</t>
  </si>
  <si>
    <t>ORD-2025-00642</t>
  </si>
  <si>
    <t>ORD-2025-00643</t>
  </si>
  <si>
    <t>ORD-2025-00644</t>
  </si>
  <si>
    <t>ORD-2025-00645</t>
  </si>
  <si>
    <t>ORD-2025-00646</t>
  </si>
  <si>
    <t>ORD-2025-00647</t>
  </si>
  <si>
    <t>ORD-2025-00648</t>
  </si>
  <si>
    <t>ORD-2025-00649</t>
  </si>
  <si>
    <t>ORD-2025-00650</t>
  </si>
  <si>
    <t>ORD-2025-00651</t>
  </si>
  <si>
    <t>ORD-2025-00652</t>
  </si>
  <si>
    <t>ORD-2025-00653</t>
  </si>
  <si>
    <t>ORD-2025-00654</t>
  </si>
  <si>
    <t>ORD-2025-00655</t>
  </si>
  <si>
    <t>ORD-2025-00656</t>
  </si>
  <si>
    <t>ORD-2025-00657</t>
  </si>
  <si>
    <t>ORD-2025-00658</t>
  </si>
  <si>
    <t>ORD-2025-00659</t>
  </si>
  <si>
    <t>ORD-2025-00660</t>
  </si>
  <si>
    <t>ORD-2025-00661</t>
  </si>
  <si>
    <t>ORD-2025-00662</t>
  </si>
  <si>
    <t>ORD-2025-00663</t>
  </si>
  <si>
    <t>ORD-2025-00664</t>
  </si>
  <si>
    <t>ORD-2025-00665</t>
  </si>
  <si>
    <t>ORD-2025-00666</t>
  </si>
  <si>
    <t>ORD-2025-00667</t>
  </si>
  <si>
    <t>ORD-2025-00668</t>
  </si>
  <si>
    <t>ORD-2025-00669</t>
  </si>
  <si>
    <t>ORD-2025-00670</t>
  </si>
  <si>
    <t>ORD-2025-00671</t>
  </si>
  <si>
    <t>ORD-2025-00672</t>
  </si>
  <si>
    <t>ORD-2025-00673</t>
  </si>
  <si>
    <t>ORD-2025-00674</t>
  </si>
  <si>
    <t>ORD-2025-00675</t>
  </si>
  <si>
    <t>ORD-2025-00676</t>
  </si>
  <si>
    <t>ORD-2025-00677</t>
  </si>
  <si>
    <t>ORD-2025-00678</t>
  </si>
  <si>
    <t>ORD-2025-00679</t>
  </si>
  <si>
    <t>ORD-2025-00680</t>
  </si>
  <si>
    <t>ORD-2025-00681</t>
  </si>
  <si>
    <t>ORD-2025-00682</t>
  </si>
  <si>
    <t>ORD-2025-00683</t>
  </si>
  <si>
    <t>ORD-2025-00684</t>
  </si>
  <si>
    <t>ORD-2025-00685</t>
  </si>
  <si>
    <t>ORD-2025-00686</t>
  </si>
  <si>
    <t>ORD-2025-00687</t>
  </si>
  <si>
    <t>ORD-2025-00688</t>
  </si>
  <si>
    <t>ORD-2025-00689</t>
  </si>
  <si>
    <t>ORD-2025-00690</t>
  </si>
  <si>
    <t>ORD-2025-00691</t>
  </si>
  <si>
    <t>ORD-2025-00692</t>
  </si>
  <si>
    <t>ORD-2025-00693</t>
  </si>
  <si>
    <t>ORD-2025-00694</t>
  </si>
  <si>
    <t>ORD-2025-00695</t>
  </si>
  <si>
    <t>ORD-2025-00696</t>
  </si>
  <si>
    <t>ORD-2025-00697</t>
  </si>
  <si>
    <t>ORD-2025-00698</t>
  </si>
  <si>
    <t>ORD-2025-00699</t>
  </si>
  <si>
    <t>ORD-2025-00700</t>
  </si>
  <si>
    <t>ORD-2025-00701</t>
  </si>
  <si>
    <t>ORD-2025-00702</t>
  </si>
  <si>
    <t>ORD-2025-00703</t>
  </si>
  <si>
    <t>ORD-2025-00704</t>
  </si>
  <si>
    <t>ORD-2025-00705</t>
  </si>
  <si>
    <t>ORD-2025-00706</t>
  </si>
  <si>
    <t>ORD-2025-00707</t>
  </si>
  <si>
    <t>ORD-2025-00708</t>
  </si>
  <si>
    <t>ORD-2025-00709</t>
  </si>
  <si>
    <t>ORD-2025-00710</t>
  </si>
  <si>
    <t>ORD-2025-00711</t>
  </si>
  <si>
    <t>ORD-2025-00712</t>
  </si>
  <si>
    <t>ORD-2025-00713</t>
  </si>
  <si>
    <t>ORD-2025-00714</t>
  </si>
  <si>
    <t>ORD-2025-00715</t>
  </si>
  <si>
    <t>ORD-2025-00716</t>
  </si>
  <si>
    <t>ORD-2025-00717</t>
  </si>
  <si>
    <t>ORD-2025-00718</t>
  </si>
  <si>
    <t>ORD-2025-00719</t>
  </si>
  <si>
    <t>ORD-2025-00720</t>
  </si>
  <si>
    <t>ORD-2025-00721</t>
  </si>
  <si>
    <t>ORD-2025-00722</t>
  </si>
  <si>
    <t>ORD-2025-00723</t>
  </si>
  <si>
    <t>ORD-2025-00724</t>
  </si>
  <si>
    <t>ORD-2025-00725</t>
  </si>
  <si>
    <t>ORD-2025-00726</t>
  </si>
  <si>
    <t>ORD-2025-00727</t>
  </si>
  <si>
    <t>ORD-2025-00728</t>
  </si>
  <si>
    <t>ORD-2025-00729</t>
  </si>
  <si>
    <t>ORD-2025-00730</t>
  </si>
  <si>
    <t>ORD-2025-00731</t>
  </si>
  <si>
    <t>ORD-2025-00732</t>
  </si>
  <si>
    <t>ORD-2025-00733</t>
  </si>
  <si>
    <t>ORD-2025-00734</t>
  </si>
  <si>
    <t>ORD-2025-00735</t>
  </si>
  <si>
    <t>ORD-2025-00736</t>
  </si>
  <si>
    <t>ORD-2025-00737</t>
  </si>
  <si>
    <t>ORD-2025-00738</t>
  </si>
  <si>
    <t>ORD-2025-00739</t>
  </si>
  <si>
    <t>ORD-2025-00740</t>
  </si>
  <si>
    <t>ORD-2025-00741</t>
  </si>
  <si>
    <t>ORD-2025-00742</t>
  </si>
  <si>
    <t>ORD-2025-00743</t>
  </si>
  <si>
    <t>ORD-2025-00744</t>
  </si>
  <si>
    <t>ORD-2025-00745</t>
  </si>
  <si>
    <t>ORD-2025-00746</t>
  </si>
  <si>
    <t>ORD-2025-00747</t>
  </si>
  <si>
    <t>ORD-2025-00748</t>
  </si>
  <si>
    <t>ORD-2025-00749</t>
  </si>
  <si>
    <t>ORD-2025-00750</t>
  </si>
  <si>
    <t>ORD-2025-00751</t>
  </si>
  <si>
    <t>ORD-2025-00752</t>
  </si>
  <si>
    <t>ORD-2025-00753</t>
  </si>
  <si>
    <t>ORD-2025-00754</t>
  </si>
  <si>
    <t>ORD-2025-00755</t>
  </si>
  <si>
    <t>ORD-2025-00756</t>
  </si>
  <si>
    <t>ORD-2025-00757</t>
  </si>
  <si>
    <t>ORD-2025-00758</t>
  </si>
  <si>
    <t>ORD-2025-00759</t>
  </si>
  <si>
    <t>ORD-2025-00760</t>
  </si>
  <si>
    <t>ORD-2025-00761</t>
  </si>
  <si>
    <t>ORD-2025-00762</t>
  </si>
  <si>
    <t>ORD-2025-00763</t>
  </si>
  <si>
    <t>ORD-2025-00764</t>
  </si>
  <si>
    <t>ORD-2025-00765</t>
  </si>
  <si>
    <t>ORD-2025-00766</t>
  </si>
  <si>
    <t>ORD-2025-00767</t>
  </si>
  <si>
    <t>ORD-2025-00768</t>
  </si>
  <si>
    <t>ORD-2025-00769</t>
  </si>
  <si>
    <t>ORD-2025-00770</t>
  </si>
  <si>
    <t>ORD-2025-00771</t>
  </si>
  <si>
    <t>ORD-2025-00772</t>
  </si>
  <si>
    <t>ORD-2025-00773</t>
  </si>
  <si>
    <t>ORD-2025-00774</t>
  </si>
  <si>
    <t>ORD-2025-00775</t>
  </si>
  <si>
    <t>ORD-2025-00776</t>
  </si>
  <si>
    <t>ORD-2025-00777</t>
  </si>
  <si>
    <t>ORD-2025-00778</t>
  </si>
  <si>
    <t>ORD-2025-00779</t>
  </si>
  <si>
    <t>ORD-2025-00780</t>
  </si>
  <si>
    <t>ORD-2025-00781</t>
  </si>
  <si>
    <t>ORD-2025-00782</t>
  </si>
  <si>
    <t>ORD-2025-00783</t>
  </si>
  <si>
    <t>ORD-2025-00784</t>
  </si>
  <si>
    <t>ORD-2025-00785</t>
  </si>
  <si>
    <t>ORD-2025-00786</t>
  </si>
  <si>
    <t>ORD-2025-00787</t>
  </si>
  <si>
    <t>ORD-2025-00788</t>
  </si>
  <si>
    <t>ORD-2025-00789</t>
  </si>
  <si>
    <t>ORD-2025-00790</t>
  </si>
  <si>
    <t>ORD-2025-00791</t>
  </si>
  <si>
    <t>ORD-2025-00792</t>
  </si>
  <si>
    <t>ORD-2025-00793</t>
  </si>
  <si>
    <t>ORD-2025-00794</t>
  </si>
  <si>
    <t>ORD-2025-00795</t>
  </si>
  <si>
    <t>ORD-2025-00796</t>
  </si>
  <si>
    <t>ORD-2025-00797</t>
  </si>
  <si>
    <t>ORD-2025-00798</t>
  </si>
  <si>
    <t>ORD-2025-00799</t>
  </si>
  <si>
    <t>ORD-2025-00800</t>
  </si>
  <si>
    <t>ORD-2025-00801</t>
  </si>
  <si>
    <t>ORD-2025-00802</t>
  </si>
  <si>
    <t>ORD-2025-00803</t>
  </si>
  <si>
    <t>ORD-2025-00804</t>
  </si>
  <si>
    <t>ORD-2025-00805</t>
  </si>
  <si>
    <t>ORD-2025-00806</t>
  </si>
  <si>
    <t>ORD-2025-00807</t>
  </si>
  <si>
    <t>ORD-2025-00808</t>
  </si>
  <si>
    <t>ORD-2025-00809</t>
  </si>
  <si>
    <t>ORD-2025-00810</t>
  </si>
  <si>
    <t>ORD-2025-00811</t>
  </si>
  <si>
    <t>ORD-2025-00812</t>
  </si>
  <si>
    <t>ORD-2025-00813</t>
  </si>
  <si>
    <t>ORD-2025-00814</t>
  </si>
  <si>
    <t>ORD-2025-00815</t>
  </si>
  <si>
    <t>ORD-2025-00816</t>
  </si>
  <si>
    <t>ORD-2025-00817</t>
  </si>
  <si>
    <t>ORD-2025-00818</t>
  </si>
  <si>
    <t>ORD-2025-00819</t>
  </si>
  <si>
    <t>ORD-2025-00820</t>
  </si>
  <si>
    <t>ORD-2025-00821</t>
  </si>
  <si>
    <t>ORD-2025-00822</t>
  </si>
  <si>
    <t>ORD-2025-00823</t>
  </si>
  <si>
    <t>ORD-2025-00824</t>
  </si>
  <si>
    <t>ORD-2025-00825</t>
  </si>
  <si>
    <t>ORD-2025-00826</t>
  </si>
  <si>
    <t>ORD-2025-00827</t>
  </si>
  <si>
    <t>ORD-2025-00828</t>
  </si>
  <si>
    <t>ORD-2025-00829</t>
  </si>
  <si>
    <t>ORD-2025-00830</t>
  </si>
  <si>
    <t>ORD-2025-00831</t>
  </si>
  <si>
    <t>ORD-2025-00832</t>
  </si>
  <si>
    <t>ORD-2025-00833</t>
  </si>
  <si>
    <t>ORD-2025-00834</t>
  </si>
  <si>
    <t>ORD-2025-00835</t>
  </si>
  <si>
    <t>ORD-2025-00836</t>
  </si>
  <si>
    <t>ORD-2025-00837</t>
  </si>
  <si>
    <t>ORD-2025-00838</t>
  </si>
  <si>
    <t>ORD-2025-00839</t>
  </si>
  <si>
    <t>ORD-2025-00840</t>
  </si>
  <si>
    <t>ORD-2025-00841</t>
  </si>
  <si>
    <t>ORD-2025-00842</t>
  </si>
  <si>
    <t>ORD-2025-00843</t>
  </si>
  <si>
    <t>ORD-2025-00844</t>
  </si>
  <si>
    <t>ORD-2025-00845</t>
  </si>
  <si>
    <t>ORD-2025-00846</t>
  </si>
  <si>
    <t>ORD-2025-00847</t>
  </si>
  <si>
    <t>ORD-2025-00848</t>
  </si>
  <si>
    <t>ORD-2025-00849</t>
  </si>
  <si>
    <t>ORD-2025-00850</t>
  </si>
  <si>
    <t>ORD-2025-00851</t>
  </si>
  <si>
    <t>ORD-2025-00852</t>
  </si>
  <si>
    <t>ORD-2025-00853</t>
  </si>
  <si>
    <t>ORD-2025-00854</t>
  </si>
  <si>
    <t>ORD-2025-00855</t>
  </si>
  <si>
    <t>ORD-2025-00856</t>
  </si>
  <si>
    <t>ORD-2025-00857</t>
  </si>
  <si>
    <t>ORD-2025-00858</t>
  </si>
  <si>
    <t>ORD-2025-00859</t>
  </si>
  <si>
    <t>ORD-2025-00860</t>
  </si>
  <si>
    <t>ORD-2025-00861</t>
  </si>
  <si>
    <t>ORD-2025-00862</t>
  </si>
  <si>
    <t>ORD-2025-00863</t>
  </si>
  <si>
    <t>ORD-2025-00864</t>
  </si>
  <si>
    <t>ORD-2025-00865</t>
  </si>
  <si>
    <t>ORD-2025-00866</t>
  </si>
  <si>
    <t>ORD-2025-00867</t>
  </si>
  <si>
    <t>ORD-2025-00868</t>
  </si>
  <si>
    <t>ORD-2025-00869</t>
  </si>
  <si>
    <t>ORD-2025-00870</t>
  </si>
  <si>
    <t>ORD-2025-00871</t>
  </si>
  <si>
    <t>ORD-2025-00872</t>
  </si>
  <si>
    <t>ORD-2025-00873</t>
  </si>
  <si>
    <t>ORD-2025-00874</t>
  </si>
  <si>
    <t>ORD-2025-00875</t>
  </si>
  <si>
    <t>ORD-2025-00876</t>
  </si>
  <si>
    <t>ORD-2025-00877</t>
  </si>
  <si>
    <t>ORD-2025-00878</t>
  </si>
  <si>
    <t>ORD-2025-00879</t>
  </si>
  <si>
    <t>ORD-2025-00880</t>
  </si>
  <si>
    <t>ORD-2025-00881</t>
  </si>
  <si>
    <t>ORD-2025-00882</t>
  </si>
  <si>
    <t>ORD-2025-00883</t>
  </si>
  <si>
    <t>ORD-2025-00884</t>
  </si>
  <si>
    <t>ORD-2025-00885</t>
  </si>
  <si>
    <t>ORD-2025-00886</t>
  </si>
  <si>
    <t>ORD-2025-00887</t>
  </si>
  <si>
    <t>ORD-2025-00888</t>
  </si>
  <si>
    <t>ORD-2025-00889</t>
  </si>
  <si>
    <t>ORD-2025-00890</t>
  </si>
  <si>
    <t>ORD-2025-00891</t>
  </si>
  <si>
    <t>ORD-2025-00892</t>
  </si>
  <si>
    <t>ORD-2025-00893</t>
  </si>
  <si>
    <t>ORD-2025-00894</t>
  </si>
  <si>
    <t>ORD-2025-00895</t>
  </si>
  <si>
    <t>ORD-2025-00896</t>
  </si>
  <si>
    <t>ORD-2025-00897</t>
  </si>
  <si>
    <t>ORD-2025-00898</t>
  </si>
  <si>
    <t>ORD-2025-00899</t>
  </si>
  <si>
    <t>ORD-2025-00900</t>
  </si>
  <si>
    <t>ORD-2025-00901</t>
  </si>
  <si>
    <t>ORD-2025-00902</t>
  </si>
  <si>
    <t>ORD-2025-00903</t>
  </si>
  <si>
    <t>ORD-2025-00904</t>
  </si>
  <si>
    <t>ORD-2025-00905</t>
  </si>
  <si>
    <t>ORD-2025-00906</t>
  </si>
  <si>
    <t>ORD-2025-00907</t>
  </si>
  <si>
    <t>ORD-2025-00908</t>
  </si>
  <si>
    <t>ORD-2025-00909</t>
  </si>
  <si>
    <t>ORD-2025-00910</t>
  </si>
  <si>
    <t>ORD-2025-00911</t>
  </si>
  <si>
    <t>ORD-2025-00912</t>
  </si>
  <si>
    <t>ORD-2025-00913</t>
  </si>
  <si>
    <t>ORD-2025-00914</t>
  </si>
  <si>
    <t>ORD-2025-00915</t>
  </si>
  <si>
    <t>ORD-2025-00916</t>
  </si>
  <si>
    <t>ORD-2025-00917</t>
  </si>
  <si>
    <t>ORD-2025-00918</t>
  </si>
  <si>
    <t>ORD-2025-00919</t>
  </si>
  <si>
    <t>ORD-2025-00920</t>
  </si>
  <si>
    <t>ORD-2025-00921</t>
  </si>
  <si>
    <t>ORD-2025-00922</t>
  </si>
  <si>
    <t>ORD-2025-00923</t>
  </si>
  <si>
    <t>ORD-2025-00924</t>
  </si>
  <si>
    <t>ORD-2025-00925</t>
  </si>
  <si>
    <t>ORD-2025-00926</t>
  </si>
  <si>
    <t>ORD-2025-00927</t>
  </si>
  <si>
    <t>ORD-2025-00928</t>
  </si>
  <si>
    <t>ORD-2025-00929</t>
  </si>
  <si>
    <t>ORD-2025-00930</t>
  </si>
  <si>
    <t>ORD-2025-00931</t>
  </si>
  <si>
    <t>ORD-2025-00932</t>
  </si>
  <si>
    <t>ORD-2025-00933</t>
  </si>
  <si>
    <t>ORD-2025-00934</t>
  </si>
  <si>
    <t>ORD-2025-00935</t>
  </si>
  <si>
    <t>ORD-2025-00936</t>
  </si>
  <si>
    <t>ORD-2025-00937</t>
  </si>
  <si>
    <t>ORD-2025-00938</t>
  </si>
  <si>
    <t>ORD-2025-00939</t>
  </si>
  <si>
    <t>ORD-2025-00940</t>
  </si>
  <si>
    <t>ORD-2025-00941</t>
  </si>
  <si>
    <t>ORD-2025-00942</t>
  </si>
  <si>
    <t>ORD-2025-00943</t>
  </si>
  <si>
    <t>ORD-2025-00944</t>
  </si>
  <si>
    <t>ORD-2025-00945</t>
  </si>
  <si>
    <t>ORD-2025-00946</t>
  </si>
  <si>
    <t>ORD-2025-00947</t>
  </si>
  <si>
    <t>ORD-2025-00948</t>
  </si>
  <si>
    <t>ORD-2025-00949</t>
  </si>
  <si>
    <t>ORD-2025-00950</t>
  </si>
  <si>
    <t>ORD-2025-00951</t>
  </si>
  <si>
    <t>ORD-2025-00952</t>
  </si>
  <si>
    <t>ORD-2025-00953</t>
  </si>
  <si>
    <t>ORD-2025-00954</t>
  </si>
  <si>
    <t>ORD-2025-00955</t>
  </si>
  <si>
    <t>ORD-2025-00956</t>
  </si>
  <si>
    <t>ORD-2025-00957</t>
  </si>
  <si>
    <t>ORD-2025-00958</t>
  </si>
  <si>
    <t>ORD-2025-00959</t>
  </si>
  <si>
    <t>ORD-2025-00960</t>
  </si>
  <si>
    <t>ORD-2025-00961</t>
  </si>
  <si>
    <t>ORD-2025-00962</t>
  </si>
  <si>
    <t>ORD-2025-00963</t>
  </si>
  <si>
    <t>ORD-2025-00964</t>
  </si>
  <si>
    <t>ORD-2025-00965</t>
  </si>
  <si>
    <t>ORD-2025-00966</t>
  </si>
  <si>
    <t>ORD-2025-00967</t>
  </si>
  <si>
    <t>ORD-2025-00968</t>
  </si>
  <si>
    <t>ORD-2025-00969</t>
  </si>
  <si>
    <t>ORD-2025-00970</t>
  </si>
  <si>
    <t>ORD-2025-00971</t>
  </si>
  <si>
    <t>ORD-2025-00972</t>
  </si>
  <si>
    <t>ORD-2025-00973</t>
  </si>
  <si>
    <t>ORD-2025-00974</t>
  </si>
  <si>
    <t>ORD-2025-00975</t>
  </si>
  <si>
    <t>ORD-2025-00976</t>
  </si>
  <si>
    <t>ORD-2025-00977</t>
  </si>
  <si>
    <t>ORD-2025-00978</t>
  </si>
  <si>
    <t>ORD-2025-00979</t>
  </si>
  <si>
    <t>ORD-2025-00980</t>
  </si>
  <si>
    <t>ORD-2025-00981</t>
  </si>
  <si>
    <t>ORD-2025-00982</t>
  </si>
  <si>
    <t>ORD-2025-00983</t>
  </si>
  <si>
    <t>ORD-2025-00984</t>
  </si>
  <si>
    <t>ORD-2025-00985</t>
  </si>
  <si>
    <t>ORD-2025-00986</t>
  </si>
  <si>
    <t>ORD-2025-00987</t>
  </si>
  <si>
    <t>ORD-2025-00988</t>
  </si>
  <si>
    <t>ORD-2025-00989</t>
  </si>
  <si>
    <t>ORD-2025-00990</t>
  </si>
  <si>
    <t>ORD-2025-00991</t>
  </si>
  <si>
    <t>ORD-2025-00992</t>
  </si>
  <si>
    <t>ORD-2025-00993</t>
  </si>
  <si>
    <t>ORD-2025-00994</t>
  </si>
  <si>
    <t>ORD-2025-00995</t>
  </si>
  <si>
    <t>ORD-2025-00996</t>
  </si>
  <si>
    <t>ORD-2025-00997</t>
  </si>
  <si>
    <t>ORD-2025-00998</t>
  </si>
  <si>
    <t>ORD-2025-00999</t>
  </si>
  <si>
    <t>ORD-2025-01000</t>
  </si>
  <si>
    <t>ORD-2025-01001</t>
  </si>
  <si>
    <t>ORD-2025-01002</t>
  </si>
  <si>
    <t>ORD-2025-01003</t>
  </si>
  <si>
    <t>ORD-2025-01004</t>
  </si>
  <si>
    <t>ORD-2025-01005</t>
  </si>
  <si>
    <t>ORD-2025-01006</t>
  </si>
  <si>
    <t>ORD-2025-01007</t>
  </si>
  <si>
    <t>ORD-2025-01008</t>
  </si>
  <si>
    <t>ORD-2025-01009</t>
  </si>
  <si>
    <t>ORD-2025-01010</t>
  </si>
  <si>
    <t>ORD-2025-01011</t>
  </si>
  <si>
    <t>ORD-2025-01012</t>
  </si>
  <si>
    <t>ORD-2025-01013</t>
  </si>
  <si>
    <t>ORD-2025-01014</t>
  </si>
  <si>
    <t>ORD-2025-01015</t>
  </si>
  <si>
    <t>ORD-2025-01016</t>
  </si>
  <si>
    <t>ORD-2025-01017</t>
  </si>
  <si>
    <t>ORD-2025-01018</t>
  </si>
  <si>
    <t>ORD-2025-01019</t>
  </si>
  <si>
    <t>ORD-2025-01020</t>
  </si>
  <si>
    <t>ORD-2025-01021</t>
  </si>
  <si>
    <t>ORD-2025-01022</t>
  </si>
  <si>
    <t>ORD-2025-01023</t>
  </si>
  <si>
    <t>ORD-2025-01024</t>
  </si>
  <si>
    <t>ORD-2025-01025</t>
  </si>
  <si>
    <t>ORD-2025-01026</t>
  </si>
  <si>
    <t>ORD-2025-01027</t>
  </si>
  <si>
    <t>ORD-2025-01028</t>
  </si>
  <si>
    <t>ORD-2025-01029</t>
  </si>
  <si>
    <t>ORD-2025-01030</t>
  </si>
  <si>
    <t>ORD-2025-01031</t>
  </si>
  <si>
    <t>ORD-2025-01032</t>
  </si>
  <si>
    <t>ORD-2025-01033</t>
  </si>
  <si>
    <t>ORD-2025-01034</t>
  </si>
  <si>
    <t>ORD-2025-01035</t>
  </si>
  <si>
    <t>ORD-2025-01036</t>
  </si>
  <si>
    <t>ORD-2025-01037</t>
  </si>
  <si>
    <t>ORD-2025-01038</t>
  </si>
  <si>
    <t>ORD-2025-01039</t>
  </si>
  <si>
    <t>ORD-2025-01040</t>
  </si>
  <si>
    <t>ORD-2025-01041</t>
  </si>
  <si>
    <t>ORD-2025-01042</t>
  </si>
  <si>
    <t>ORD-2025-01043</t>
  </si>
  <si>
    <t>ORD-2025-01044</t>
  </si>
  <si>
    <t>ORD-2025-01045</t>
  </si>
  <si>
    <t>ORD-2025-01046</t>
  </si>
  <si>
    <t>ORD-2025-01047</t>
  </si>
  <si>
    <t>ORD-2025-01048</t>
  </si>
  <si>
    <t>ORD-2025-01049</t>
  </si>
  <si>
    <t>ORD-2025-01050</t>
  </si>
  <si>
    <t>ORD-2025-01051</t>
  </si>
  <si>
    <t>ORD-2025-01052</t>
  </si>
  <si>
    <t>ORD-2025-01053</t>
  </si>
  <si>
    <t>ORD-2025-01054</t>
  </si>
  <si>
    <t>ORD-2025-01055</t>
  </si>
  <si>
    <t>ORD-2025-01056</t>
  </si>
  <si>
    <t>ORD-2025-01057</t>
  </si>
  <si>
    <t>ORD-2025-01058</t>
  </si>
  <si>
    <t>ORD-2025-01059</t>
  </si>
  <si>
    <t>ORD-2025-01060</t>
  </si>
  <si>
    <t>ORD-2025-01061</t>
  </si>
  <si>
    <t>ORD-2025-01062</t>
  </si>
  <si>
    <t>ORD-2025-01063</t>
  </si>
  <si>
    <t>ORD-2025-01064</t>
  </si>
  <si>
    <t>ORD-2025-01065</t>
  </si>
  <si>
    <t>ORD-2025-01066</t>
  </si>
  <si>
    <t>ORD-2025-01067</t>
  </si>
  <si>
    <t>ORD-2025-01068</t>
  </si>
  <si>
    <t>ORD-2025-01069</t>
  </si>
  <si>
    <t>ORD-2025-01070</t>
  </si>
  <si>
    <t>ORD-2025-01071</t>
  </si>
  <si>
    <t>ORD-2025-01072</t>
  </si>
  <si>
    <t>ORD-2025-01073</t>
  </si>
  <si>
    <t>ORD-2025-01074</t>
  </si>
  <si>
    <t>ORD-2025-01075</t>
  </si>
  <si>
    <t>ORD-2025-01076</t>
  </si>
  <si>
    <t>ORD-2025-01077</t>
  </si>
  <si>
    <t>ORD-2025-01078</t>
  </si>
  <si>
    <t>ORD-2025-01079</t>
  </si>
  <si>
    <t>ORD-2025-01080</t>
  </si>
  <si>
    <t>ORD-2025-01081</t>
  </si>
  <si>
    <t>ORD-2025-01082</t>
  </si>
  <si>
    <t>ORD-2025-01083</t>
  </si>
  <si>
    <t>ORD-2025-01084</t>
  </si>
  <si>
    <t>ORD-2025-01085</t>
  </si>
  <si>
    <t>ORD-2025-01086</t>
  </si>
  <si>
    <t>ORD-2025-01087</t>
  </si>
  <si>
    <t>ORD-2025-01088</t>
  </si>
  <si>
    <t>ORD-2025-01089</t>
  </si>
  <si>
    <t>ORD-2025-01090</t>
  </si>
  <si>
    <t>ORD-2025-01091</t>
  </si>
  <si>
    <t>ORD-2025-01092</t>
  </si>
  <si>
    <t>ORD-2025-01093</t>
  </si>
  <si>
    <t>ORD-2025-01094</t>
  </si>
  <si>
    <t>ORD-2025-01095</t>
  </si>
  <si>
    <t>ORD-2025-01096</t>
  </si>
  <si>
    <t>ORD-2025-01097</t>
  </si>
  <si>
    <t>ORD-2025-01098</t>
  </si>
  <si>
    <t>ORD-2025-01099</t>
  </si>
  <si>
    <t>ORD-2025-01100</t>
  </si>
  <si>
    <t>ORD-2025-01101</t>
  </si>
  <si>
    <t>ORD-2025-01102</t>
  </si>
  <si>
    <t>ORD-2025-01103</t>
  </si>
  <si>
    <t>ORD-2025-01104</t>
  </si>
  <si>
    <t>ORD-2025-01105</t>
  </si>
  <si>
    <t>ORD-2025-01106</t>
  </si>
  <si>
    <t>ORD-2025-01107</t>
  </si>
  <si>
    <t>ORD-2025-01108</t>
  </si>
  <si>
    <t>ORD-2025-01109</t>
  </si>
  <si>
    <t>ORD-2025-01110</t>
  </si>
  <si>
    <t>ORD-2025-01111</t>
  </si>
  <si>
    <t>ORD-2025-01112</t>
  </si>
  <si>
    <t>ORD-2025-01113</t>
  </si>
  <si>
    <t>ORD-2025-01114</t>
  </si>
  <si>
    <t>ORD-2025-01115</t>
  </si>
  <si>
    <t>ORD-2025-01116</t>
  </si>
  <si>
    <t>ORD-2025-01117</t>
  </si>
  <si>
    <t>ORD-2025-01118</t>
  </si>
  <si>
    <t>ORD-2025-01119</t>
  </si>
  <si>
    <t>ORD-2025-01120</t>
  </si>
  <si>
    <t>ORD-2025-01121</t>
  </si>
  <si>
    <t>ORD-2025-01122</t>
  </si>
  <si>
    <t>ORD-2025-01123</t>
  </si>
  <si>
    <t>ORD-2025-01124</t>
  </si>
  <si>
    <t>ORD-2025-01125</t>
  </si>
  <si>
    <t>ORD-2025-01126</t>
  </si>
  <si>
    <t>ORD-2025-01127</t>
  </si>
  <si>
    <t>ORD-2025-01128</t>
  </si>
  <si>
    <t>ORD-2025-01129</t>
  </si>
  <si>
    <t>ORD-2025-01130</t>
  </si>
  <si>
    <t>ORD-2025-01131</t>
  </si>
  <si>
    <t>ORD-2025-01132</t>
  </si>
  <si>
    <t>ORD-2025-01133</t>
  </si>
  <si>
    <t>ORD-2025-01134</t>
  </si>
  <si>
    <t>ORD-2025-01135</t>
  </si>
  <si>
    <t>ORD-2025-01136</t>
  </si>
  <si>
    <t>ORD-2025-01137</t>
  </si>
  <si>
    <t>ORD-2025-01138</t>
  </si>
  <si>
    <t>ORD-2025-01139</t>
  </si>
  <si>
    <t>ORD-2025-01140</t>
  </si>
  <si>
    <t>ORD-2025-01141</t>
  </si>
  <si>
    <t>ORD-2025-01142</t>
  </si>
  <si>
    <t>ORD-2025-01143</t>
  </si>
  <si>
    <t>ORD-2025-01144</t>
  </si>
  <si>
    <t>ORD-2025-01145</t>
  </si>
  <si>
    <t>ORD-2025-01146</t>
  </si>
  <si>
    <t>ORD-2025-01147</t>
  </si>
  <si>
    <t>ORD-2025-01148</t>
  </si>
  <si>
    <t>ORD-2025-01149</t>
  </si>
  <si>
    <t>ORD-2025-01150</t>
  </si>
  <si>
    <t>ORD-2025-01151</t>
  </si>
  <si>
    <t>ORD-2025-01152</t>
  </si>
  <si>
    <t>ORD-2025-01153</t>
  </si>
  <si>
    <t>ORD-2025-01154</t>
  </si>
  <si>
    <t>ORD-2025-01155</t>
  </si>
  <si>
    <t>ORD-2025-01156</t>
  </si>
  <si>
    <t>ORD-2025-01157</t>
  </si>
  <si>
    <t>ORD-2025-01158</t>
  </si>
  <si>
    <t>ORD-2025-01159</t>
  </si>
  <si>
    <t>ORD-2025-01160</t>
  </si>
  <si>
    <t>ORD-2025-01161</t>
  </si>
  <si>
    <t>ORD-2025-01162</t>
  </si>
  <si>
    <t>ORD-2025-01163</t>
  </si>
  <si>
    <t>ORD-2025-01164</t>
  </si>
  <si>
    <t>ORD-2025-01165</t>
  </si>
  <si>
    <t>ORD-2025-01166</t>
  </si>
  <si>
    <t>ORD-2025-01167</t>
  </si>
  <si>
    <t>ORD-2025-01168</t>
  </si>
  <si>
    <t>ORD-2025-01169</t>
  </si>
  <si>
    <t>ORD-2025-01170</t>
  </si>
  <si>
    <t>ORD-2025-01171</t>
  </si>
  <si>
    <t>ORD-2025-01172</t>
  </si>
  <si>
    <t>ORD-2025-01173</t>
  </si>
  <si>
    <t>ORD-2025-01174</t>
  </si>
  <si>
    <t>ORD-2025-01175</t>
  </si>
  <si>
    <t>ORD-2025-01176</t>
  </si>
  <si>
    <t>ORD-2025-01177</t>
  </si>
  <si>
    <t>ORD-2025-01178</t>
  </si>
  <si>
    <t>ORD-2025-01179</t>
  </si>
  <si>
    <t>ORD-2025-01180</t>
  </si>
  <si>
    <t>ORD-2025-01181</t>
  </si>
  <si>
    <t>ORD-2025-01182</t>
  </si>
  <si>
    <t>ORD-2025-01183</t>
  </si>
  <si>
    <t>ORD-2025-01184</t>
  </si>
  <si>
    <t>ORD-2025-01185</t>
  </si>
  <si>
    <t>ORD-2025-01186</t>
  </si>
  <si>
    <t>ORD-2025-01187</t>
  </si>
  <si>
    <t>ORD-2025-01188</t>
  </si>
  <si>
    <t>ORD-2025-01189</t>
  </si>
  <si>
    <t>ORD-2025-01190</t>
  </si>
  <si>
    <t>ORD-2025-01191</t>
  </si>
  <si>
    <t>ORD-2025-01192</t>
  </si>
  <si>
    <t>ORD-2025-01193</t>
  </si>
  <si>
    <t>ORD-2025-01194</t>
  </si>
  <si>
    <t>ORD-2025-01195</t>
  </si>
  <si>
    <t>ORD-2025-01196</t>
  </si>
  <si>
    <t>ORD-2025-01197</t>
  </si>
  <si>
    <t>ORD-2025-01198</t>
  </si>
  <si>
    <t>ORD-2025-01199</t>
  </si>
  <si>
    <t>ORD-2025-01200</t>
  </si>
  <si>
    <t>Standard Price</t>
  </si>
  <si>
    <t>Month</t>
  </si>
  <si>
    <t>Sales Target</t>
  </si>
  <si>
    <t>Variance vs Target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</si>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</sst>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\$#,##0.00"/>
    <numFmt numFmtId="166" formatCode="0.0%"/>
    <numFmt numFmtId="167" formatCode="\$#,##0.000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2"/>
      <color rgb="FF1F4E78"/>
      <name val="Arial"/>
      <charset val="1"/>
    </font>
    <font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0" fontId="7" fillId="0" borderId="0" xfId="0" applyFont="1"/>
    <xf numFmtId="167" fontId="0" fillId="0" borderId="0" xfId="0" applyNumberFormat="1"/>
  </cellXfs>
  <cellStyles count="1">
    <cellStyle name="Normal" xfId="0" builtinId="0"/>
  </cellStyles>
  <dxfs count="1">
    <dxf>
      <numFmt numFmtId="167" formatCode="\$#,##0.0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ales_Data" displayName="Sales_Data" ref="A1:N1201" totalsRowShown="0">
  <autoFilter ref="A1:N1201" xr:uid="{00000000-0009-0000-0100-000003000000}"/>
  <tableColumns count="14">
    <tableColumn id="1" xr3:uid="{00000000-0010-0000-0000-000001000000}" name="Order ID"/>
    <tableColumn id="2" xr3:uid="{00000000-0010-0000-0000-000002000000}" name="Order Date"/>
    <tableColumn id="3" xr3:uid="{00000000-0010-0000-0000-000003000000}" name="Region"/>
    <tableColumn id="4" xr3:uid="{00000000-0010-0000-0000-000004000000}" name="Category"/>
    <tableColumn id="5" xr3:uid="{00000000-0010-0000-0000-000005000000}" name="Product"/>
    <tableColumn id="6" xr3:uid="{00000000-0010-0000-0000-000006000000}" name="Customer Segment"/>
    <tableColumn id="7" xr3:uid="{00000000-0010-0000-0000-000007000000}" name="Sales Channel"/>
    <tableColumn id="8" xr3:uid="{00000000-0010-0000-0000-000008000000}" name="Salesperson"/>
    <tableColumn id="9" xr3:uid="{00000000-0010-0000-0000-000009000000}" name="Units"/>
    <tableColumn id="10" xr3:uid="{00000000-0010-0000-0000-00000A000000}" name="Unit Price"/>
    <tableColumn id="11" xr3:uid="{00000000-0010-0000-0000-00000B000000}" name="Discount %"/>
    <tableColumn id="12" xr3:uid="{00000000-0010-0000-0000-00000C000000}" name="Sales"/>
    <tableColumn id="13" xr3:uid="{00000000-0010-0000-0000-00000D000000}" name="Cost"/>
    <tableColumn id="14" xr3:uid="{00000000-0010-0000-0000-00000E000000}" name="Prof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" displayName="Products" ref="A1:C21" totalsRowShown="0">
  <autoFilter ref="A1:C21" xr:uid="{00000000-0009-0000-0100-000002000000}"/>
  <tableColumns count="3">
    <tableColumn id="1" xr3:uid="{00000000-0010-0000-0100-000001000000}" name="Product"/>
    <tableColumn id="2" xr3:uid="{00000000-0010-0000-0100-000002000000}" name="Category"/>
    <tableColumn id="3" xr3:uid="{00000000-0010-0000-0100-000003000000}" name="Standard Pric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Monthly_Targets" displayName="Monthly_Targets" ref="A1:C14" totalsRowCount="1">
  <autoFilter ref="A1:C13" xr:uid="{00000000-0009-0000-0100-000001000000}"/>
  <tableColumns count="3">
    <tableColumn id="1" xr3:uid="{00000000-0010-0000-0200-000001000000}" name="Month"/>
    <tableColumn id="2" xr3:uid="{00000000-0010-0000-0200-000002000000}" name="Sales" totalsRowDxfId="0"/>
    <tableColumn id="3" xr3:uid="{00000000-0010-0000-0200-000003000000}" name="Sales Targe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showGridLines="0" zoomScaleNormal="100" workbookViewId="0">
      <selection sqref="A1:B1"/>
    </sheetView>
  </sheetViews>
  <sheetFormatPr defaultColWidth="8.6328125" defaultRowHeight="14.5" x14ac:dyDescent="0.35"/>
  <cols>
    <col min="1" max="1" width="34" customWidth="1"/>
    <col min="2" max="2" width="80" customWidth="1"/>
  </cols>
  <sheetData>
    <row r="1" spans="1:2" ht="20" x14ac:dyDescent="0.4">
      <c r="A1" s="2" t="s">
        <v>0</v>
      </c>
      <c r="B1" s="2"/>
    </row>
    <row r="2" spans="1:2" x14ac:dyDescent="0.35">
      <c r="A2" s="1" t="s">
        <v>1</v>
      </c>
      <c r="B2" s="1"/>
    </row>
    <row r="4" spans="1:2" ht="15.5" x14ac:dyDescent="0.35">
      <c r="A4" s="3" t="s">
        <v>2</v>
      </c>
    </row>
    <row r="5" spans="1:2" ht="37.5" x14ac:dyDescent="0.35">
      <c r="A5" s="4" t="s">
        <v>3</v>
      </c>
      <c r="B5" s="5" t="s">
        <v>4</v>
      </c>
    </row>
    <row r="7" spans="1:2" ht="15.5" x14ac:dyDescent="0.35">
      <c r="A7" s="3" t="s">
        <v>5</v>
      </c>
    </row>
    <row r="8" spans="1:2" ht="25" x14ac:dyDescent="0.35">
      <c r="A8" s="4" t="s">
        <v>3</v>
      </c>
      <c r="B8" s="5" t="s">
        <v>6</v>
      </c>
    </row>
    <row r="9" spans="1:2" ht="25" x14ac:dyDescent="0.35">
      <c r="A9" s="4" t="s">
        <v>3</v>
      </c>
      <c r="B9" s="5" t="s">
        <v>7</v>
      </c>
    </row>
    <row r="10" spans="1:2" ht="37.5" x14ac:dyDescent="0.35">
      <c r="A10" s="4" t="s">
        <v>3</v>
      </c>
      <c r="B10" s="5" t="s">
        <v>8</v>
      </c>
    </row>
    <row r="12" spans="1:2" ht="15.5" x14ac:dyDescent="0.35">
      <c r="A12" s="3" t="s">
        <v>9</v>
      </c>
    </row>
    <row r="13" spans="1:2" ht="37.5" x14ac:dyDescent="0.35">
      <c r="A13" s="4" t="s">
        <v>3</v>
      </c>
      <c r="B13" s="5" t="s">
        <v>10</v>
      </c>
    </row>
    <row r="14" spans="1:2" ht="37.5" x14ac:dyDescent="0.35">
      <c r="A14" s="4" t="s">
        <v>3</v>
      </c>
      <c r="B14" s="5" t="s">
        <v>11</v>
      </c>
    </row>
    <row r="15" spans="1:2" x14ac:dyDescent="0.35">
      <c r="A15" s="4" t="s">
        <v>3</v>
      </c>
      <c r="B15" s="5" t="s">
        <v>12</v>
      </c>
    </row>
    <row r="17" spans="1:2" ht="15.5" x14ac:dyDescent="0.35">
      <c r="A17" s="3" t="s">
        <v>13</v>
      </c>
    </row>
    <row r="18" spans="1:2" ht="50" x14ac:dyDescent="0.35">
      <c r="A18" s="4" t="s">
        <v>3</v>
      </c>
      <c r="B18" s="5" t="s">
        <v>14</v>
      </c>
    </row>
    <row r="19" spans="1:2" x14ac:dyDescent="0.35">
      <c r="A19" s="4" t="s">
        <v>3</v>
      </c>
      <c r="B19" s="5" t="s">
        <v>15</v>
      </c>
    </row>
    <row r="21" spans="1:2" ht="15.5" x14ac:dyDescent="0.35">
      <c r="A21" s="3" t="s">
        <v>16</v>
      </c>
    </row>
    <row r="22" spans="1:2" ht="37.5" x14ac:dyDescent="0.35">
      <c r="A22" s="4" t="s">
        <v>3</v>
      </c>
      <c r="B22" s="5" t="s">
        <v>17</v>
      </c>
    </row>
    <row r="23" spans="1:2" ht="37.5" x14ac:dyDescent="0.35">
      <c r="A23" s="4" t="s">
        <v>3</v>
      </c>
      <c r="B23" s="5" t="s">
        <v>18</v>
      </c>
    </row>
    <row r="25" spans="1:2" ht="15.5" x14ac:dyDescent="0.35">
      <c r="A25" s="3" t="s">
        <v>19</v>
      </c>
    </row>
    <row r="26" spans="1:2" ht="25" x14ac:dyDescent="0.35">
      <c r="A26" s="4" t="s">
        <v>3</v>
      </c>
      <c r="B26" s="5" t="s">
        <v>20</v>
      </c>
    </row>
    <row r="27" spans="1:2" ht="37.5" x14ac:dyDescent="0.35">
      <c r="A27" s="4" t="s">
        <v>3</v>
      </c>
      <c r="B27" s="5" t="s">
        <v>21</v>
      </c>
    </row>
    <row r="29" spans="1:2" ht="15.5" x14ac:dyDescent="0.35">
      <c r="A29" s="3" t="s">
        <v>22</v>
      </c>
    </row>
    <row r="30" spans="1:2" ht="37.5" x14ac:dyDescent="0.35">
      <c r="A30" s="4" t="s">
        <v>3</v>
      </c>
      <c r="B30" s="5" t="s">
        <v>23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zoomScaleNormal="100" workbookViewId="0">
      <pane ySplit="1" topLeftCell="A2" activePane="bottomLeft" state="frozen"/>
      <selection pane="bottomLeft" activeCell="E1" sqref="A1:XFD1048576"/>
    </sheetView>
  </sheetViews>
  <sheetFormatPr defaultColWidth="8.6328125" defaultRowHeight="14.5" x14ac:dyDescent="0.35"/>
  <cols>
    <col min="1" max="1" width="16" customWidth="1"/>
    <col min="2" max="3" width="12" customWidth="1"/>
    <col min="4" max="4" width="16" customWidth="1"/>
    <col min="5" max="5" width="24" customWidth="1"/>
    <col min="6" max="6" width="16" customWidth="1"/>
    <col min="7" max="7" width="14" customWidth="1"/>
    <col min="8" max="8" width="22" customWidth="1"/>
    <col min="9" max="9" width="8" customWidth="1"/>
    <col min="10" max="10" width="12" customWidth="1"/>
    <col min="11" max="11" width="11" customWidth="1"/>
    <col min="12" max="14" width="13" customWidth="1"/>
  </cols>
  <sheetData>
    <row r="1" spans="1:14" x14ac:dyDescent="0.35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</row>
    <row r="2" spans="1:14" x14ac:dyDescent="0.35">
      <c r="A2" s="7" t="s">
        <v>38</v>
      </c>
      <c r="B2" s="8">
        <v>45658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>
        <v>37</v>
      </c>
      <c r="J2" s="9">
        <v>397.5</v>
      </c>
      <c r="K2" s="10">
        <v>0.17510000000000001</v>
      </c>
      <c r="L2" s="9">
        <f t="shared" ref="L2:L65" si="0">I2*J2*(1-K2)</f>
        <v>12132.21675</v>
      </c>
      <c r="M2" s="9">
        <f>ROUND(L2*0.654,2)</f>
        <v>7934.47</v>
      </c>
      <c r="N2" s="9">
        <f t="shared" ref="N2:N65" si="1">L2-M2</f>
        <v>4197.7467499999993</v>
      </c>
    </row>
    <row r="3" spans="1:14" x14ac:dyDescent="0.35">
      <c r="A3" s="7" t="s">
        <v>45</v>
      </c>
      <c r="B3" s="8">
        <v>45658</v>
      </c>
      <c r="C3" s="7" t="s">
        <v>46</v>
      </c>
      <c r="D3" s="7" t="s">
        <v>40</v>
      </c>
      <c r="E3" s="7" t="s">
        <v>47</v>
      </c>
      <c r="F3" s="7" t="s">
        <v>48</v>
      </c>
      <c r="G3" s="7" t="s">
        <v>49</v>
      </c>
      <c r="H3" s="7" t="s">
        <v>50</v>
      </c>
      <c r="I3" s="7">
        <v>1</v>
      </c>
      <c r="J3" s="9">
        <v>240.85</v>
      </c>
      <c r="K3" s="10">
        <v>8.1299999999999997E-2</v>
      </c>
      <c r="L3" s="9">
        <f t="shared" si="0"/>
        <v>221.26889499999999</v>
      </c>
      <c r="M3" s="9">
        <f>ROUND(L3*0.6321,2)</f>
        <v>139.86000000000001</v>
      </c>
      <c r="N3" s="9">
        <f t="shared" si="1"/>
        <v>81.408894999999973</v>
      </c>
    </row>
    <row r="4" spans="1:14" x14ac:dyDescent="0.35">
      <c r="A4" s="7" t="s">
        <v>51</v>
      </c>
      <c r="B4" s="8">
        <v>45659</v>
      </c>
      <c r="C4" s="7" t="s">
        <v>52</v>
      </c>
      <c r="D4" s="7" t="s">
        <v>53</v>
      </c>
      <c r="E4" s="7" t="s">
        <v>54</v>
      </c>
      <c r="F4" s="7" t="s">
        <v>48</v>
      </c>
      <c r="G4" s="7" t="s">
        <v>55</v>
      </c>
      <c r="H4" s="7" t="s">
        <v>56</v>
      </c>
      <c r="I4" s="7">
        <v>1</v>
      </c>
      <c r="J4" s="9">
        <v>1252.95</v>
      </c>
      <c r="K4" s="10">
        <v>4.3799999999999999E-2</v>
      </c>
      <c r="L4" s="9">
        <f t="shared" si="0"/>
        <v>1198.0707900000002</v>
      </c>
      <c r="M4" s="9">
        <f>ROUND(L4*0.7311,2)</f>
        <v>875.91</v>
      </c>
      <c r="N4" s="9">
        <f t="shared" si="1"/>
        <v>322.16079000000025</v>
      </c>
    </row>
    <row r="5" spans="1:14" x14ac:dyDescent="0.35">
      <c r="A5" s="7" t="s">
        <v>57</v>
      </c>
      <c r="B5" s="8">
        <v>45660</v>
      </c>
      <c r="C5" s="7" t="s">
        <v>39</v>
      </c>
      <c r="D5" s="7" t="s">
        <v>53</v>
      </c>
      <c r="E5" s="7" t="s">
        <v>58</v>
      </c>
      <c r="F5" s="7" t="s">
        <v>59</v>
      </c>
      <c r="G5" s="7" t="s">
        <v>49</v>
      </c>
      <c r="H5" s="7" t="s">
        <v>60</v>
      </c>
      <c r="I5" s="7">
        <v>6</v>
      </c>
      <c r="J5" s="9">
        <v>682.31</v>
      </c>
      <c r="K5" s="10">
        <v>0.1011</v>
      </c>
      <c r="L5" s="9">
        <f t="shared" si="0"/>
        <v>3679.9707539999999</v>
      </c>
      <c r="M5" s="9">
        <f>ROUND(L5*0.6849,2)</f>
        <v>2520.41</v>
      </c>
      <c r="N5" s="9">
        <f t="shared" si="1"/>
        <v>1159.5607540000001</v>
      </c>
    </row>
    <row r="6" spans="1:14" x14ac:dyDescent="0.35">
      <c r="A6" s="7" t="s">
        <v>61</v>
      </c>
      <c r="B6" s="8">
        <v>45660</v>
      </c>
      <c r="C6" s="7" t="s">
        <v>39</v>
      </c>
      <c r="D6" s="7" t="s">
        <v>40</v>
      </c>
      <c r="E6" s="7" t="s">
        <v>62</v>
      </c>
      <c r="F6" s="7" t="s">
        <v>42</v>
      </c>
      <c r="G6" s="7" t="s">
        <v>43</v>
      </c>
      <c r="H6" s="7" t="s">
        <v>60</v>
      </c>
      <c r="I6" s="7">
        <v>39</v>
      </c>
      <c r="J6" s="9">
        <v>190.56</v>
      </c>
      <c r="K6" s="10">
        <v>0.19789999999999999</v>
      </c>
      <c r="L6" s="9">
        <f t="shared" si="0"/>
        <v>5961.0788640000001</v>
      </c>
      <c r="M6" s="9">
        <f>ROUND(L6*0.6661,2)</f>
        <v>3970.67</v>
      </c>
      <c r="N6" s="9">
        <f t="shared" si="1"/>
        <v>1990.408864</v>
      </c>
    </row>
    <row r="7" spans="1:14" x14ac:dyDescent="0.35">
      <c r="A7" s="7" t="s">
        <v>63</v>
      </c>
      <c r="B7" s="8">
        <v>45662</v>
      </c>
      <c r="C7" s="7" t="s">
        <v>52</v>
      </c>
      <c r="D7" s="7" t="s">
        <v>53</v>
      </c>
      <c r="E7" s="7" t="s">
        <v>54</v>
      </c>
      <c r="F7" s="7" t="s">
        <v>48</v>
      </c>
      <c r="G7" s="7" t="s">
        <v>49</v>
      </c>
      <c r="H7" s="7" t="s">
        <v>64</v>
      </c>
      <c r="I7" s="7">
        <v>2</v>
      </c>
      <c r="J7" s="9">
        <v>1231.69</v>
      </c>
      <c r="K7" s="10">
        <v>4.1200000000000001E-2</v>
      </c>
      <c r="L7" s="9">
        <f t="shared" si="0"/>
        <v>2361.8887439999999</v>
      </c>
      <c r="M7" s="9">
        <f>ROUND(L7*0.7218,2)</f>
        <v>1704.81</v>
      </c>
      <c r="N7" s="9">
        <f t="shared" si="1"/>
        <v>657.07874399999992</v>
      </c>
    </row>
    <row r="8" spans="1:14" x14ac:dyDescent="0.35">
      <c r="A8" s="7" t="s">
        <v>65</v>
      </c>
      <c r="B8" s="8">
        <v>45662</v>
      </c>
      <c r="C8" s="7" t="s">
        <v>39</v>
      </c>
      <c r="D8" s="7" t="s">
        <v>66</v>
      </c>
      <c r="E8" s="7" t="s">
        <v>67</v>
      </c>
      <c r="F8" s="7" t="s">
        <v>48</v>
      </c>
      <c r="G8" s="7" t="s">
        <v>49</v>
      </c>
      <c r="H8" s="7" t="s">
        <v>60</v>
      </c>
      <c r="I8" s="7">
        <v>3</v>
      </c>
      <c r="J8" s="9">
        <v>83.98</v>
      </c>
      <c r="K8" s="10">
        <v>7.4399999999999994E-2</v>
      </c>
      <c r="L8" s="9">
        <f t="shared" si="0"/>
        <v>233.19566399999999</v>
      </c>
      <c r="M8" s="9">
        <f>ROUND(L8*0.5858,2)</f>
        <v>136.61000000000001</v>
      </c>
      <c r="N8" s="9">
        <f t="shared" si="1"/>
        <v>96.58566399999998</v>
      </c>
    </row>
    <row r="9" spans="1:14" x14ac:dyDescent="0.35">
      <c r="A9" s="7" t="s">
        <v>68</v>
      </c>
      <c r="B9" s="8">
        <v>45663</v>
      </c>
      <c r="C9" s="7" t="s">
        <v>52</v>
      </c>
      <c r="D9" s="7" t="s">
        <v>69</v>
      </c>
      <c r="E9" s="7" t="s">
        <v>70</v>
      </c>
      <c r="F9" s="7" t="s">
        <v>48</v>
      </c>
      <c r="G9" s="7" t="s">
        <v>49</v>
      </c>
      <c r="H9" s="7" t="s">
        <v>71</v>
      </c>
      <c r="I9" s="7">
        <v>1</v>
      </c>
      <c r="J9" s="9">
        <v>146.66</v>
      </c>
      <c r="K9" s="10">
        <v>4.2700000000000002E-2</v>
      </c>
      <c r="L9" s="9">
        <f t="shared" si="0"/>
        <v>140.39761799999999</v>
      </c>
      <c r="M9" s="9">
        <f>ROUND(L9*0.2566,2)</f>
        <v>36.03</v>
      </c>
      <c r="N9" s="9">
        <f t="shared" si="1"/>
        <v>104.36761799999999</v>
      </c>
    </row>
    <row r="10" spans="1:14" x14ac:dyDescent="0.35">
      <c r="A10" s="7" t="s">
        <v>72</v>
      </c>
      <c r="B10" s="8">
        <v>45664</v>
      </c>
      <c r="C10" s="7" t="s">
        <v>46</v>
      </c>
      <c r="D10" s="7" t="s">
        <v>66</v>
      </c>
      <c r="E10" s="7" t="s">
        <v>73</v>
      </c>
      <c r="F10" s="7" t="s">
        <v>48</v>
      </c>
      <c r="G10" s="7" t="s">
        <v>55</v>
      </c>
      <c r="H10" s="7" t="s">
        <v>74</v>
      </c>
      <c r="I10" s="7">
        <v>2</v>
      </c>
      <c r="J10" s="9">
        <v>38.22</v>
      </c>
      <c r="K10" s="10">
        <v>3.2000000000000002E-3</v>
      </c>
      <c r="L10" s="9">
        <f t="shared" si="0"/>
        <v>76.195391999999998</v>
      </c>
      <c r="M10" s="9">
        <f>ROUND(L10*0.5766,2)</f>
        <v>43.93</v>
      </c>
      <c r="N10" s="9">
        <f t="shared" si="1"/>
        <v>32.265391999999999</v>
      </c>
    </row>
    <row r="11" spans="1:14" x14ac:dyDescent="0.35">
      <c r="A11" s="7" t="s">
        <v>75</v>
      </c>
      <c r="B11" s="8">
        <v>45664</v>
      </c>
      <c r="C11" s="7" t="s">
        <v>76</v>
      </c>
      <c r="D11" s="7" t="s">
        <v>66</v>
      </c>
      <c r="E11" s="7" t="s">
        <v>77</v>
      </c>
      <c r="F11" s="7" t="s">
        <v>48</v>
      </c>
      <c r="G11" s="7" t="s">
        <v>55</v>
      </c>
      <c r="H11" s="7" t="s">
        <v>78</v>
      </c>
      <c r="I11" s="7">
        <v>3</v>
      </c>
      <c r="J11" s="9">
        <v>97.53</v>
      </c>
      <c r="K11" s="10">
        <v>2.9600000000000001E-2</v>
      </c>
      <c r="L11" s="9">
        <f t="shared" si="0"/>
        <v>283.92933600000003</v>
      </c>
      <c r="M11" s="9">
        <f>ROUND(L11*0.5932,2)</f>
        <v>168.43</v>
      </c>
      <c r="N11" s="9">
        <f t="shared" si="1"/>
        <v>115.49933600000003</v>
      </c>
    </row>
    <row r="12" spans="1:14" x14ac:dyDescent="0.35">
      <c r="A12" s="7" t="s">
        <v>79</v>
      </c>
      <c r="B12" s="8">
        <v>45664</v>
      </c>
      <c r="C12" s="7" t="s">
        <v>76</v>
      </c>
      <c r="D12" s="7" t="s">
        <v>40</v>
      </c>
      <c r="E12" s="7" t="s">
        <v>62</v>
      </c>
      <c r="F12" s="7" t="s">
        <v>48</v>
      </c>
      <c r="G12" s="7" t="s">
        <v>55</v>
      </c>
      <c r="H12" s="7" t="s">
        <v>78</v>
      </c>
      <c r="I12" s="7">
        <v>1</v>
      </c>
      <c r="J12" s="9">
        <v>194.33</v>
      </c>
      <c r="K12" s="10">
        <v>5.5599999999999997E-2</v>
      </c>
      <c r="L12" s="9">
        <f t="shared" si="0"/>
        <v>183.52525200000002</v>
      </c>
      <c r="M12" s="9">
        <f>ROUND(L12*0.6643,2)</f>
        <v>121.92</v>
      </c>
      <c r="N12" s="9">
        <f t="shared" si="1"/>
        <v>61.605252000000021</v>
      </c>
    </row>
    <row r="13" spans="1:14" x14ac:dyDescent="0.35">
      <c r="A13" s="7" t="s">
        <v>80</v>
      </c>
      <c r="B13" s="8">
        <v>45665</v>
      </c>
      <c r="C13" s="7" t="s">
        <v>52</v>
      </c>
      <c r="D13" s="7" t="s">
        <v>53</v>
      </c>
      <c r="E13" s="7" t="s">
        <v>81</v>
      </c>
      <c r="F13" s="7" t="s">
        <v>42</v>
      </c>
      <c r="G13" s="7" t="s">
        <v>43</v>
      </c>
      <c r="H13" s="7" t="s">
        <v>64</v>
      </c>
      <c r="I13" s="7">
        <v>25</v>
      </c>
      <c r="J13" s="9">
        <v>1073.01</v>
      </c>
      <c r="K13" s="10">
        <v>0.24929999999999999</v>
      </c>
      <c r="L13" s="9">
        <f t="shared" si="0"/>
        <v>20137.715175000001</v>
      </c>
      <c r="M13" s="9">
        <f>ROUND(L13*0.6898,2)</f>
        <v>13891</v>
      </c>
      <c r="N13" s="9">
        <f t="shared" si="1"/>
        <v>6246.7151750000012</v>
      </c>
    </row>
    <row r="14" spans="1:14" x14ac:dyDescent="0.35">
      <c r="A14" s="7" t="s">
        <v>82</v>
      </c>
      <c r="B14" s="8">
        <v>45665</v>
      </c>
      <c r="C14" s="7" t="s">
        <v>52</v>
      </c>
      <c r="D14" s="7" t="s">
        <v>53</v>
      </c>
      <c r="E14" s="7" t="s">
        <v>54</v>
      </c>
      <c r="F14" s="7" t="s">
        <v>42</v>
      </c>
      <c r="G14" s="7" t="s">
        <v>43</v>
      </c>
      <c r="H14" s="7" t="s">
        <v>83</v>
      </c>
      <c r="I14" s="7">
        <v>20</v>
      </c>
      <c r="J14" s="9">
        <v>1295.26</v>
      </c>
      <c r="K14" s="10">
        <v>0.15310000000000001</v>
      </c>
      <c r="L14" s="9">
        <f t="shared" si="0"/>
        <v>21939.113880000001</v>
      </c>
      <c r="M14" s="9">
        <f>ROUND(L14*0.704,2)</f>
        <v>15445.14</v>
      </c>
      <c r="N14" s="9">
        <f t="shared" si="1"/>
        <v>6493.9738800000014</v>
      </c>
    </row>
    <row r="15" spans="1:14" x14ac:dyDescent="0.35">
      <c r="A15" s="7" t="s">
        <v>84</v>
      </c>
      <c r="B15" s="8">
        <v>45665</v>
      </c>
      <c r="C15" s="7" t="s">
        <v>46</v>
      </c>
      <c r="D15" s="7" t="s">
        <v>40</v>
      </c>
      <c r="E15" s="7" t="s">
        <v>47</v>
      </c>
      <c r="F15" s="7" t="s">
        <v>42</v>
      </c>
      <c r="G15" s="7" t="s">
        <v>43</v>
      </c>
      <c r="H15" s="7" t="s">
        <v>50</v>
      </c>
      <c r="I15" s="7">
        <v>28</v>
      </c>
      <c r="J15" s="9">
        <v>238.41</v>
      </c>
      <c r="K15" s="10">
        <v>0.14330000000000001</v>
      </c>
      <c r="L15" s="9">
        <f t="shared" si="0"/>
        <v>5718.8837159999994</v>
      </c>
      <c r="M15" s="9">
        <f>ROUND(L15*0.6631,2)</f>
        <v>3792.19</v>
      </c>
      <c r="N15" s="9">
        <f t="shared" si="1"/>
        <v>1926.6937159999993</v>
      </c>
    </row>
    <row r="16" spans="1:14" x14ac:dyDescent="0.35">
      <c r="A16" s="7" t="s">
        <v>85</v>
      </c>
      <c r="B16" s="8">
        <v>45665</v>
      </c>
      <c r="C16" s="7" t="s">
        <v>76</v>
      </c>
      <c r="D16" s="7" t="s">
        <v>69</v>
      </c>
      <c r="E16" s="7" t="s">
        <v>70</v>
      </c>
      <c r="F16" s="7" t="s">
        <v>48</v>
      </c>
      <c r="G16" s="7" t="s">
        <v>55</v>
      </c>
      <c r="H16" s="7" t="s">
        <v>78</v>
      </c>
      <c r="I16" s="7">
        <v>1</v>
      </c>
      <c r="J16" s="9">
        <v>143.13</v>
      </c>
      <c r="K16" s="10">
        <v>4.36E-2</v>
      </c>
      <c r="L16" s="9">
        <f t="shared" si="0"/>
        <v>136.889532</v>
      </c>
      <c r="M16" s="9">
        <f>ROUND(L16*0.2135,2)</f>
        <v>29.23</v>
      </c>
      <c r="N16" s="9">
        <f t="shared" si="1"/>
        <v>107.659532</v>
      </c>
    </row>
    <row r="17" spans="1:14" x14ac:dyDescent="0.35">
      <c r="A17" s="7" t="s">
        <v>86</v>
      </c>
      <c r="B17" s="8">
        <v>45666</v>
      </c>
      <c r="C17" s="7" t="s">
        <v>46</v>
      </c>
      <c r="D17" s="7" t="s">
        <v>53</v>
      </c>
      <c r="E17" s="7" t="s">
        <v>87</v>
      </c>
      <c r="F17" s="7" t="s">
        <v>59</v>
      </c>
      <c r="G17" s="7" t="s">
        <v>55</v>
      </c>
      <c r="H17" s="7" t="s">
        <v>74</v>
      </c>
      <c r="I17" s="7">
        <v>10</v>
      </c>
      <c r="J17" s="9">
        <v>879.04</v>
      </c>
      <c r="K17" s="10">
        <v>6.2700000000000006E-2</v>
      </c>
      <c r="L17" s="9">
        <f t="shared" si="0"/>
        <v>8239.2419200000004</v>
      </c>
      <c r="M17" s="9">
        <f>ROUND(L17*0.7076,2)</f>
        <v>5830.09</v>
      </c>
      <c r="N17" s="9">
        <f t="shared" si="1"/>
        <v>2409.1519200000002</v>
      </c>
    </row>
    <row r="18" spans="1:14" x14ac:dyDescent="0.35">
      <c r="A18" s="7" t="s">
        <v>88</v>
      </c>
      <c r="B18" s="8">
        <v>45666</v>
      </c>
      <c r="C18" s="7" t="s">
        <v>52</v>
      </c>
      <c r="D18" s="7" t="s">
        <v>53</v>
      </c>
      <c r="E18" s="7" t="s">
        <v>87</v>
      </c>
      <c r="F18" s="7" t="s">
        <v>48</v>
      </c>
      <c r="G18" s="7" t="s">
        <v>49</v>
      </c>
      <c r="H18" s="7" t="s">
        <v>64</v>
      </c>
      <c r="I18" s="7">
        <v>3</v>
      </c>
      <c r="J18" s="9">
        <v>866.7</v>
      </c>
      <c r="K18" s="10">
        <v>7.0400000000000004E-2</v>
      </c>
      <c r="L18" s="9">
        <f t="shared" si="0"/>
        <v>2417.0529600000004</v>
      </c>
      <c r="M18" s="9">
        <f>ROUND(L18*0.6802,2)</f>
        <v>1644.08</v>
      </c>
      <c r="N18" s="9">
        <f t="shared" si="1"/>
        <v>772.97296000000051</v>
      </c>
    </row>
    <row r="19" spans="1:14" x14ac:dyDescent="0.35">
      <c r="A19" s="7" t="s">
        <v>89</v>
      </c>
      <c r="B19" s="8">
        <v>45666</v>
      </c>
      <c r="C19" s="7" t="s">
        <v>46</v>
      </c>
      <c r="D19" s="7" t="s">
        <v>53</v>
      </c>
      <c r="E19" s="7" t="s">
        <v>87</v>
      </c>
      <c r="F19" s="7" t="s">
        <v>42</v>
      </c>
      <c r="G19" s="7" t="s">
        <v>43</v>
      </c>
      <c r="H19" s="7" t="s">
        <v>50</v>
      </c>
      <c r="I19" s="7">
        <v>27</v>
      </c>
      <c r="J19" s="9">
        <v>905.1</v>
      </c>
      <c r="K19" s="10">
        <v>0.16919999999999999</v>
      </c>
      <c r="L19" s="9">
        <f t="shared" si="0"/>
        <v>20302.84116</v>
      </c>
      <c r="M19" s="9">
        <f>ROUND(L19*0.6919,2)</f>
        <v>14047.54</v>
      </c>
      <c r="N19" s="9">
        <f t="shared" si="1"/>
        <v>6255.3011599999991</v>
      </c>
    </row>
    <row r="20" spans="1:14" x14ac:dyDescent="0.35">
      <c r="A20" s="7" t="s">
        <v>90</v>
      </c>
      <c r="B20" s="8">
        <v>45667</v>
      </c>
      <c r="C20" s="7" t="s">
        <v>52</v>
      </c>
      <c r="D20" s="7" t="s">
        <v>40</v>
      </c>
      <c r="E20" s="7" t="s">
        <v>91</v>
      </c>
      <c r="F20" s="7" t="s">
        <v>48</v>
      </c>
      <c r="G20" s="7" t="s">
        <v>55</v>
      </c>
      <c r="H20" s="7" t="s">
        <v>56</v>
      </c>
      <c r="I20" s="7">
        <v>1</v>
      </c>
      <c r="J20" s="9">
        <v>125.4</v>
      </c>
      <c r="K20" s="10">
        <v>3.2599999999999997E-2</v>
      </c>
      <c r="L20" s="9">
        <f t="shared" si="0"/>
        <v>121.31196000000001</v>
      </c>
      <c r="M20" s="9">
        <f>ROUND(L20*0.6192,2)</f>
        <v>75.12</v>
      </c>
      <c r="N20" s="9">
        <f t="shared" si="1"/>
        <v>46.191960000000009</v>
      </c>
    </row>
    <row r="21" spans="1:14" x14ac:dyDescent="0.35">
      <c r="A21" s="7" t="s">
        <v>92</v>
      </c>
      <c r="B21" s="8">
        <v>45667</v>
      </c>
      <c r="C21" s="7" t="s">
        <v>39</v>
      </c>
      <c r="D21" s="7" t="s">
        <v>53</v>
      </c>
      <c r="E21" s="7" t="s">
        <v>87</v>
      </c>
      <c r="F21" s="7" t="s">
        <v>42</v>
      </c>
      <c r="G21" s="7" t="s">
        <v>43</v>
      </c>
      <c r="H21" s="7" t="s">
        <v>60</v>
      </c>
      <c r="I21" s="7">
        <v>29</v>
      </c>
      <c r="J21" s="9">
        <v>865.42</v>
      </c>
      <c r="K21" s="10">
        <v>0.19919999999999999</v>
      </c>
      <c r="L21" s="9">
        <f t="shared" si="0"/>
        <v>20097.821744000001</v>
      </c>
      <c r="M21" s="9">
        <f>ROUND(L21*0.7264,2)</f>
        <v>14599.06</v>
      </c>
      <c r="N21" s="9">
        <f t="shared" si="1"/>
        <v>5498.7617440000013</v>
      </c>
    </row>
    <row r="22" spans="1:14" x14ac:dyDescent="0.35">
      <c r="A22" s="7" t="s">
        <v>93</v>
      </c>
      <c r="B22" s="8">
        <v>45667</v>
      </c>
      <c r="C22" s="7" t="s">
        <v>52</v>
      </c>
      <c r="D22" s="7" t="s">
        <v>40</v>
      </c>
      <c r="E22" s="7" t="s">
        <v>62</v>
      </c>
      <c r="F22" s="7" t="s">
        <v>42</v>
      </c>
      <c r="G22" s="7" t="s">
        <v>49</v>
      </c>
      <c r="H22" s="7" t="s">
        <v>64</v>
      </c>
      <c r="I22" s="7">
        <v>14</v>
      </c>
      <c r="J22" s="9">
        <v>186.44</v>
      </c>
      <c r="K22" s="10">
        <v>0.11890000000000001</v>
      </c>
      <c r="L22" s="9">
        <f t="shared" si="0"/>
        <v>2299.811976</v>
      </c>
      <c r="M22" s="9">
        <f>ROUND(L22*0.6259,2)</f>
        <v>1439.45</v>
      </c>
      <c r="N22" s="9">
        <f t="shared" si="1"/>
        <v>860.36197599999991</v>
      </c>
    </row>
    <row r="23" spans="1:14" x14ac:dyDescent="0.35">
      <c r="A23" s="7" t="s">
        <v>94</v>
      </c>
      <c r="B23" s="8">
        <v>45667</v>
      </c>
      <c r="C23" s="7" t="s">
        <v>46</v>
      </c>
      <c r="D23" s="7" t="s">
        <v>69</v>
      </c>
      <c r="E23" s="7" t="s">
        <v>70</v>
      </c>
      <c r="F23" s="7" t="s">
        <v>59</v>
      </c>
      <c r="G23" s="7" t="s">
        <v>49</v>
      </c>
      <c r="H23" s="7" t="s">
        <v>95</v>
      </c>
      <c r="I23" s="7">
        <v>5</v>
      </c>
      <c r="J23" s="9">
        <v>140.97</v>
      </c>
      <c r="K23" s="10">
        <v>8.6400000000000005E-2</v>
      </c>
      <c r="L23" s="9">
        <f t="shared" si="0"/>
        <v>643.95096000000001</v>
      </c>
      <c r="M23" s="9">
        <f>ROUND(L23*0.2327,2)</f>
        <v>149.85</v>
      </c>
      <c r="N23" s="9">
        <f t="shared" si="1"/>
        <v>494.10095999999999</v>
      </c>
    </row>
    <row r="24" spans="1:14" x14ac:dyDescent="0.35">
      <c r="A24" s="7" t="s">
        <v>96</v>
      </c>
      <c r="B24" s="8">
        <v>45668</v>
      </c>
      <c r="C24" s="7" t="s">
        <v>39</v>
      </c>
      <c r="D24" s="7" t="s">
        <v>53</v>
      </c>
      <c r="E24" s="7" t="s">
        <v>54</v>
      </c>
      <c r="F24" s="7" t="s">
        <v>59</v>
      </c>
      <c r="G24" s="7" t="s">
        <v>49</v>
      </c>
      <c r="H24" s="7" t="s">
        <v>44</v>
      </c>
      <c r="I24" s="7">
        <v>5</v>
      </c>
      <c r="J24" s="9">
        <v>1276.04</v>
      </c>
      <c r="K24" s="10">
        <v>0.127</v>
      </c>
      <c r="L24" s="9">
        <f t="shared" si="0"/>
        <v>5569.9146000000001</v>
      </c>
      <c r="M24" s="9">
        <f>ROUND(L24*0.7198,2)</f>
        <v>4009.22</v>
      </c>
      <c r="N24" s="9">
        <f t="shared" si="1"/>
        <v>1560.6946000000003</v>
      </c>
    </row>
    <row r="25" spans="1:14" x14ac:dyDescent="0.35">
      <c r="A25" s="7" t="s">
        <v>97</v>
      </c>
      <c r="B25" s="8">
        <v>45669</v>
      </c>
      <c r="C25" s="7" t="s">
        <v>52</v>
      </c>
      <c r="D25" s="7" t="s">
        <v>66</v>
      </c>
      <c r="E25" s="7" t="s">
        <v>98</v>
      </c>
      <c r="F25" s="7" t="s">
        <v>48</v>
      </c>
      <c r="G25" s="7" t="s">
        <v>49</v>
      </c>
      <c r="H25" s="7" t="s">
        <v>71</v>
      </c>
      <c r="I25" s="7">
        <v>1</v>
      </c>
      <c r="J25" s="9">
        <v>27.26</v>
      </c>
      <c r="K25" s="10">
        <v>5.5999999999999999E-3</v>
      </c>
      <c r="L25" s="9">
        <f t="shared" si="0"/>
        <v>27.107344000000001</v>
      </c>
      <c r="M25" s="9">
        <f>ROUND(L25*0.5607,2)</f>
        <v>15.2</v>
      </c>
      <c r="N25" s="9">
        <f t="shared" si="1"/>
        <v>11.907344000000002</v>
      </c>
    </row>
    <row r="26" spans="1:14" x14ac:dyDescent="0.35">
      <c r="A26" s="7" t="s">
        <v>99</v>
      </c>
      <c r="B26" s="8">
        <v>45669</v>
      </c>
      <c r="C26" s="7" t="s">
        <v>46</v>
      </c>
      <c r="D26" s="7" t="s">
        <v>66</v>
      </c>
      <c r="E26" s="7" t="s">
        <v>67</v>
      </c>
      <c r="F26" s="7" t="s">
        <v>42</v>
      </c>
      <c r="G26" s="7" t="s">
        <v>43</v>
      </c>
      <c r="H26" s="7" t="s">
        <v>50</v>
      </c>
      <c r="I26" s="7">
        <v>13</v>
      </c>
      <c r="J26" s="9">
        <v>84.33</v>
      </c>
      <c r="K26" s="10">
        <v>0.19309999999999999</v>
      </c>
      <c r="L26" s="9">
        <f t="shared" si="0"/>
        <v>884.5964009999999</v>
      </c>
      <c r="M26" s="9">
        <f>ROUND(L26*0.5542,2)</f>
        <v>490.24</v>
      </c>
      <c r="N26" s="9">
        <f t="shared" si="1"/>
        <v>394.35640099999989</v>
      </c>
    </row>
    <row r="27" spans="1:14" x14ac:dyDescent="0.35">
      <c r="A27" s="7" t="s">
        <v>100</v>
      </c>
      <c r="B27" s="8">
        <v>45669</v>
      </c>
      <c r="C27" s="7" t="s">
        <v>52</v>
      </c>
      <c r="D27" s="7" t="s">
        <v>40</v>
      </c>
      <c r="E27" s="7" t="s">
        <v>47</v>
      </c>
      <c r="F27" s="7" t="s">
        <v>48</v>
      </c>
      <c r="G27" s="7" t="s">
        <v>55</v>
      </c>
      <c r="H27" s="7" t="s">
        <v>56</v>
      </c>
      <c r="I27" s="7">
        <v>1</v>
      </c>
      <c r="J27" s="9">
        <v>251.17</v>
      </c>
      <c r="K27" s="10">
        <v>2.2100000000000002E-2</v>
      </c>
      <c r="L27" s="9">
        <f t="shared" si="0"/>
        <v>245.61914299999998</v>
      </c>
      <c r="M27" s="9">
        <f>ROUND(L27*0.6537,2)</f>
        <v>160.56</v>
      </c>
      <c r="N27" s="9">
        <f t="shared" si="1"/>
        <v>85.059142999999978</v>
      </c>
    </row>
    <row r="28" spans="1:14" x14ac:dyDescent="0.35">
      <c r="A28" s="7" t="s">
        <v>101</v>
      </c>
      <c r="B28" s="8">
        <v>45669</v>
      </c>
      <c r="C28" s="7" t="s">
        <v>52</v>
      </c>
      <c r="D28" s="7" t="s">
        <v>66</v>
      </c>
      <c r="E28" s="7" t="s">
        <v>73</v>
      </c>
      <c r="F28" s="7" t="s">
        <v>42</v>
      </c>
      <c r="G28" s="7" t="s">
        <v>43</v>
      </c>
      <c r="H28" s="7" t="s">
        <v>71</v>
      </c>
      <c r="I28" s="7">
        <v>8</v>
      </c>
      <c r="J28" s="9">
        <v>38.520000000000003</v>
      </c>
      <c r="K28" s="10">
        <v>0.24149999999999999</v>
      </c>
      <c r="L28" s="9">
        <f t="shared" si="0"/>
        <v>233.73936</v>
      </c>
      <c r="M28" s="9">
        <f>ROUND(L28*0.5567,2)</f>
        <v>130.12</v>
      </c>
      <c r="N28" s="9">
        <f t="shared" si="1"/>
        <v>103.61936</v>
      </c>
    </row>
    <row r="29" spans="1:14" x14ac:dyDescent="0.35">
      <c r="A29" s="7" t="s">
        <v>102</v>
      </c>
      <c r="B29" s="8">
        <v>45670</v>
      </c>
      <c r="C29" s="7" t="s">
        <v>76</v>
      </c>
      <c r="D29" s="7" t="s">
        <v>53</v>
      </c>
      <c r="E29" s="7" t="s">
        <v>81</v>
      </c>
      <c r="F29" s="7" t="s">
        <v>42</v>
      </c>
      <c r="G29" s="7" t="s">
        <v>55</v>
      </c>
      <c r="H29" s="7" t="s">
        <v>78</v>
      </c>
      <c r="I29" s="7">
        <v>8</v>
      </c>
      <c r="J29" s="9">
        <v>1114.8499999999999</v>
      </c>
      <c r="K29" s="10">
        <v>0.10100000000000001</v>
      </c>
      <c r="L29" s="9">
        <f t="shared" si="0"/>
        <v>8018.0011999999997</v>
      </c>
      <c r="M29" s="9">
        <f>ROUND(L29*0.7331,2)</f>
        <v>5878</v>
      </c>
      <c r="N29" s="9">
        <f t="shared" si="1"/>
        <v>2140.0011999999997</v>
      </c>
    </row>
    <row r="30" spans="1:14" x14ac:dyDescent="0.35">
      <c r="A30" s="7" t="s">
        <v>103</v>
      </c>
      <c r="B30" s="8">
        <v>45670</v>
      </c>
      <c r="C30" s="7" t="s">
        <v>39</v>
      </c>
      <c r="D30" s="7" t="s">
        <v>40</v>
      </c>
      <c r="E30" s="7" t="s">
        <v>91</v>
      </c>
      <c r="F30" s="7" t="s">
        <v>59</v>
      </c>
      <c r="G30" s="7" t="s">
        <v>43</v>
      </c>
      <c r="H30" s="7" t="s">
        <v>44</v>
      </c>
      <c r="I30" s="7">
        <v>10</v>
      </c>
      <c r="J30" s="9">
        <v>124.25</v>
      </c>
      <c r="K30" s="10">
        <v>8.2900000000000001E-2</v>
      </c>
      <c r="L30" s="9">
        <f t="shared" si="0"/>
        <v>1139.49675</v>
      </c>
      <c r="M30" s="9">
        <f>ROUND(L30*0.6538,2)</f>
        <v>745</v>
      </c>
      <c r="N30" s="9">
        <f t="shared" si="1"/>
        <v>394.49675000000002</v>
      </c>
    </row>
    <row r="31" spans="1:14" x14ac:dyDescent="0.35">
      <c r="A31" s="7" t="s">
        <v>104</v>
      </c>
      <c r="B31" s="8">
        <v>45671</v>
      </c>
      <c r="C31" s="7" t="s">
        <v>52</v>
      </c>
      <c r="D31" s="7" t="s">
        <v>53</v>
      </c>
      <c r="E31" s="7" t="s">
        <v>105</v>
      </c>
      <c r="F31" s="7" t="s">
        <v>48</v>
      </c>
      <c r="G31" s="7" t="s">
        <v>55</v>
      </c>
      <c r="H31" s="7" t="s">
        <v>56</v>
      </c>
      <c r="I31" s="7">
        <v>1</v>
      </c>
      <c r="J31" s="9">
        <v>456.12</v>
      </c>
      <c r="K31" s="10">
        <v>3.5200000000000002E-2</v>
      </c>
      <c r="L31" s="9">
        <f t="shared" si="0"/>
        <v>440.06457599999999</v>
      </c>
      <c r="M31" s="9">
        <f>ROUND(L31*0.6893,2)</f>
        <v>303.33999999999997</v>
      </c>
      <c r="N31" s="9">
        <f t="shared" si="1"/>
        <v>136.72457600000001</v>
      </c>
    </row>
    <row r="32" spans="1:14" x14ac:dyDescent="0.35">
      <c r="A32" s="7" t="s">
        <v>106</v>
      </c>
      <c r="B32" s="8">
        <v>45671</v>
      </c>
      <c r="C32" s="7" t="s">
        <v>39</v>
      </c>
      <c r="D32" s="7" t="s">
        <v>69</v>
      </c>
      <c r="E32" s="7" t="s">
        <v>107</v>
      </c>
      <c r="F32" s="7" t="s">
        <v>48</v>
      </c>
      <c r="G32" s="7" t="s">
        <v>55</v>
      </c>
      <c r="H32" s="7" t="s">
        <v>108</v>
      </c>
      <c r="I32" s="7">
        <v>1</v>
      </c>
      <c r="J32" s="9">
        <v>59.29</v>
      </c>
      <c r="K32" s="10">
        <v>2.5100000000000001E-2</v>
      </c>
      <c r="L32" s="9">
        <f t="shared" si="0"/>
        <v>57.801820999999997</v>
      </c>
      <c r="M32" s="9">
        <f>ROUND(L32*0.2521,2)</f>
        <v>14.57</v>
      </c>
      <c r="N32" s="9">
        <f t="shared" si="1"/>
        <v>43.231820999999997</v>
      </c>
    </row>
    <row r="33" spans="1:14" x14ac:dyDescent="0.35">
      <c r="A33" s="7" t="s">
        <v>109</v>
      </c>
      <c r="B33" s="8">
        <v>45672</v>
      </c>
      <c r="C33" s="7" t="s">
        <v>76</v>
      </c>
      <c r="D33" s="7" t="s">
        <v>40</v>
      </c>
      <c r="E33" s="7" t="s">
        <v>41</v>
      </c>
      <c r="F33" s="7" t="s">
        <v>59</v>
      </c>
      <c r="G33" s="7" t="s">
        <v>43</v>
      </c>
      <c r="H33" s="7" t="s">
        <v>110</v>
      </c>
      <c r="I33" s="7">
        <v>9</v>
      </c>
      <c r="J33" s="9">
        <v>398.16</v>
      </c>
      <c r="K33" s="10">
        <v>0.15340000000000001</v>
      </c>
      <c r="L33" s="9">
        <f t="shared" si="0"/>
        <v>3033.7403039999999</v>
      </c>
      <c r="M33" s="9">
        <f>ROUND(L33*0.6166,2)</f>
        <v>1870.6</v>
      </c>
      <c r="N33" s="9">
        <f t="shared" si="1"/>
        <v>1163.140304</v>
      </c>
    </row>
    <row r="34" spans="1:14" x14ac:dyDescent="0.35">
      <c r="A34" s="7" t="s">
        <v>111</v>
      </c>
      <c r="B34" s="8">
        <v>45672</v>
      </c>
      <c r="C34" s="7" t="s">
        <v>46</v>
      </c>
      <c r="D34" s="7" t="s">
        <v>40</v>
      </c>
      <c r="E34" s="7" t="s">
        <v>91</v>
      </c>
      <c r="F34" s="7" t="s">
        <v>59</v>
      </c>
      <c r="G34" s="7" t="s">
        <v>55</v>
      </c>
      <c r="H34" s="7" t="s">
        <v>74</v>
      </c>
      <c r="I34" s="7">
        <v>9</v>
      </c>
      <c r="J34" s="9">
        <v>126.44</v>
      </c>
      <c r="K34" s="10">
        <v>5.9200000000000003E-2</v>
      </c>
      <c r="L34" s="9">
        <f t="shared" si="0"/>
        <v>1070.592768</v>
      </c>
      <c r="M34" s="9">
        <f>ROUND(L34*0.6112,2)</f>
        <v>654.35</v>
      </c>
      <c r="N34" s="9">
        <f t="shared" si="1"/>
        <v>416.24276799999996</v>
      </c>
    </row>
    <row r="35" spans="1:14" x14ac:dyDescent="0.35">
      <c r="A35" s="7" t="s">
        <v>112</v>
      </c>
      <c r="B35" s="8">
        <v>45672</v>
      </c>
      <c r="C35" s="7" t="s">
        <v>52</v>
      </c>
      <c r="D35" s="7" t="s">
        <v>69</v>
      </c>
      <c r="E35" s="7" t="s">
        <v>113</v>
      </c>
      <c r="F35" s="7" t="s">
        <v>48</v>
      </c>
      <c r="G35" s="7" t="s">
        <v>55</v>
      </c>
      <c r="H35" s="7" t="s">
        <v>56</v>
      </c>
      <c r="I35" s="7">
        <v>1</v>
      </c>
      <c r="J35" s="9">
        <v>255</v>
      </c>
      <c r="K35" s="10">
        <v>4.6600000000000003E-2</v>
      </c>
      <c r="L35" s="9">
        <f t="shared" si="0"/>
        <v>243.11700000000002</v>
      </c>
      <c r="M35" s="9">
        <f>ROUND(L35*0.2693,2)</f>
        <v>65.47</v>
      </c>
      <c r="N35" s="9">
        <f t="shared" si="1"/>
        <v>177.64700000000002</v>
      </c>
    </row>
    <row r="36" spans="1:14" x14ac:dyDescent="0.35">
      <c r="A36" s="7" t="s">
        <v>114</v>
      </c>
      <c r="B36" s="8">
        <v>45675</v>
      </c>
      <c r="C36" s="7" t="s">
        <v>39</v>
      </c>
      <c r="D36" s="7" t="s">
        <v>40</v>
      </c>
      <c r="E36" s="7" t="s">
        <v>47</v>
      </c>
      <c r="F36" s="7" t="s">
        <v>42</v>
      </c>
      <c r="G36" s="7" t="s">
        <v>55</v>
      </c>
      <c r="H36" s="7" t="s">
        <v>108</v>
      </c>
      <c r="I36" s="7">
        <v>10</v>
      </c>
      <c r="J36" s="9">
        <v>254.06</v>
      </c>
      <c r="K36" s="10">
        <v>9.7199999999999995E-2</v>
      </c>
      <c r="L36" s="9">
        <f t="shared" si="0"/>
        <v>2293.6536799999999</v>
      </c>
      <c r="M36" s="9">
        <f>ROUND(L36*0.622,2)</f>
        <v>1426.65</v>
      </c>
      <c r="N36" s="9">
        <f t="shared" si="1"/>
        <v>867.0036799999998</v>
      </c>
    </row>
    <row r="37" spans="1:14" x14ac:dyDescent="0.35">
      <c r="A37" s="7" t="s">
        <v>115</v>
      </c>
      <c r="B37" s="8">
        <v>45675</v>
      </c>
      <c r="C37" s="7" t="s">
        <v>52</v>
      </c>
      <c r="D37" s="7" t="s">
        <v>66</v>
      </c>
      <c r="E37" s="7" t="s">
        <v>73</v>
      </c>
      <c r="F37" s="7" t="s">
        <v>42</v>
      </c>
      <c r="G37" s="7" t="s">
        <v>43</v>
      </c>
      <c r="H37" s="7" t="s">
        <v>83</v>
      </c>
      <c r="I37" s="7">
        <v>31</v>
      </c>
      <c r="J37" s="9">
        <v>38.03</v>
      </c>
      <c r="K37" s="10">
        <v>0.19719999999999999</v>
      </c>
      <c r="L37" s="9">
        <f t="shared" si="0"/>
        <v>946.44500400000004</v>
      </c>
      <c r="M37" s="9">
        <f>ROUND(L37*0.5573,2)</f>
        <v>527.45000000000005</v>
      </c>
      <c r="N37" s="9">
        <f t="shared" si="1"/>
        <v>418.99500399999999</v>
      </c>
    </row>
    <row r="38" spans="1:14" x14ac:dyDescent="0.35">
      <c r="A38" s="7" t="s">
        <v>116</v>
      </c>
      <c r="B38" s="8">
        <v>45675</v>
      </c>
      <c r="C38" s="7" t="s">
        <v>39</v>
      </c>
      <c r="D38" s="7" t="s">
        <v>69</v>
      </c>
      <c r="E38" s="7" t="s">
        <v>70</v>
      </c>
      <c r="F38" s="7" t="s">
        <v>59</v>
      </c>
      <c r="G38" s="7" t="s">
        <v>55</v>
      </c>
      <c r="H38" s="7" t="s">
        <v>108</v>
      </c>
      <c r="I38" s="7">
        <v>8</v>
      </c>
      <c r="J38" s="9">
        <v>149.91999999999999</v>
      </c>
      <c r="K38" s="10">
        <v>5.74E-2</v>
      </c>
      <c r="L38" s="9">
        <f t="shared" si="0"/>
        <v>1130.5167359999998</v>
      </c>
      <c r="M38" s="9">
        <f>ROUND(L38*0.2127,2)</f>
        <v>240.46</v>
      </c>
      <c r="N38" s="9">
        <f t="shared" si="1"/>
        <v>890.05673599999977</v>
      </c>
    </row>
    <row r="39" spans="1:14" x14ac:dyDescent="0.35">
      <c r="A39" s="7" t="s">
        <v>117</v>
      </c>
      <c r="B39" s="8">
        <v>45676</v>
      </c>
      <c r="C39" s="7" t="s">
        <v>76</v>
      </c>
      <c r="D39" s="7" t="s">
        <v>66</v>
      </c>
      <c r="E39" s="7" t="s">
        <v>98</v>
      </c>
      <c r="F39" s="7" t="s">
        <v>48</v>
      </c>
      <c r="G39" s="7" t="s">
        <v>49</v>
      </c>
      <c r="H39" s="7" t="s">
        <v>110</v>
      </c>
      <c r="I39" s="7">
        <v>2</v>
      </c>
      <c r="J39" s="9">
        <v>27.41</v>
      </c>
      <c r="K39" s="10">
        <v>2.6100000000000002E-2</v>
      </c>
      <c r="L39" s="9">
        <f t="shared" si="0"/>
        <v>53.389198</v>
      </c>
      <c r="M39" s="9">
        <f>ROUND(L39*0.5696,2)</f>
        <v>30.41</v>
      </c>
      <c r="N39" s="9">
        <f t="shared" si="1"/>
        <v>22.979198</v>
      </c>
    </row>
    <row r="40" spans="1:14" x14ac:dyDescent="0.35">
      <c r="A40" s="7" t="s">
        <v>118</v>
      </c>
      <c r="B40" s="8">
        <v>45676</v>
      </c>
      <c r="C40" s="7" t="s">
        <v>46</v>
      </c>
      <c r="D40" s="7" t="s">
        <v>69</v>
      </c>
      <c r="E40" s="7" t="s">
        <v>119</v>
      </c>
      <c r="F40" s="7" t="s">
        <v>48</v>
      </c>
      <c r="G40" s="7" t="s">
        <v>49</v>
      </c>
      <c r="H40" s="7" t="s">
        <v>95</v>
      </c>
      <c r="I40" s="7">
        <v>1</v>
      </c>
      <c r="J40" s="9">
        <v>186.81</v>
      </c>
      <c r="K40" s="10">
        <v>9.69E-2</v>
      </c>
      <c r="L40" s="9">
        <f t="shared" si="0"/>
        <v>168.708111</v>
      </c>
      <c r="M40" s="9">
        <f>ROUND(L40*0.2354,2)</f>
        <v>39.71</v>
      </c>
      <c r="N40" s="9">
        <f t="shared" si="1"/>
        <v>128.99811099999999</v>
      </c>
    </row>
    <row r="41" spans="1:14" x14ac:dyDescent="0.35">
      <c r="A41" s="7" t="s">
        <v>120</v>
      </c>
      <c r="B41" s="8">
        <v>45676</v>
      </c>
      <c r="C41" s="7" t="s">
        <v>52</v>
      </c>
      <c r="D41" s="7" t="s">
        <v>66</v>
      </c>
      <c r="E41" s="7" t="s">
        <v>77</v>
      </c>
      <c r="F41" s="7" t="s">
        <v>48</v>
      </c>
      <c r="G41" s="7" t="s">
        <v>43</v>
      </c>
      <c r="H41" s="7" t="s">
        <v>71</v>
      </c>
      <c r="I41" s="7">
        <v>2</v>
      </c>
      <c r="J41" s="9">
        <v>93.18</v>
      </c>
      <c r="K41" s="10">
        <v>4.6399999999999997E-2</v>
      </c>
      <c r="L41" s="9">
        <f t="shared" si="0"/>
        <v>177.712896</v>
      </c>
      <c r="M41" s="9">
        <f>ROUND(L41*0.5952,2)</f>
        <v>105.77</v>
      </c>
      <c r="N41" s="9">
        <f t="shared" si="1"/>
        <v>71.942896000000005</v>
      </c>
    </row>
    <row r="42" spans="1:14" x14ac:dyDescent="0.35">
      <c r="A42" s="7" t="s">
        <v>121</v>
      </c>
      <c r="B42" s="8">
        <v>45677</v>
      </c>
      <c r="C42" s="7" t="s">
        <v>46</v>
      </c>
      <c r="D42" s="7" t="s">
        <v>53</v>
      </c>
      <c r="E42" s="7" t="s">
        <v>105</v>
      </c>
      <c r="F42" s="7" t="s">
        <v>59</v>
      </c>
      <c r="G42" s="7" t="s">
        <v>55</v>
      </c>
      <c r="H42" s="7" t="s">
        <v>74</v>
      </c>
      <c r="I42" s="7">
        <v>9</v>
      </c>
      <c r="J42" s="9">
        <v>460.87</v>
      </c>
      <c r="K42" s="10">
        <v>6.1400000000000003E-2</v>
      </c>
      <c r="L42" s="9">
        <f t="shared" si="0"/>
        <v>3893.1532379999999</v>
      </c>
      <c r="M42" s="9">
        <f>ROUND(L42*0.7338,2)</f>
        <v>2856.8</v>
      </c>
      <c r="N42" s="9">
        <f t="shared" si="1"/>
        <v>1036.3532379999997</v>
      </c>
    </row>
    <row r="43" spans="1:14" x14ac:dyDescent="0.35">
      <c r="A43" s="7" t="s">
        <v>122</v>
      </c>
      <c r="B43" s="8">
        <v>45677</v>
      </c>
      <c r="C43" s="7" t="s">
        <v>39</v>
      </c>
      <c r="D43" s="7" t="s">
        <v>66</v>
      </c>
      <c r="E43" s="7" t="s">
        <v>77</v>
      </c>
      <c r="F43" s="7" t="s">
        <v>59</v>
      </c>
      <c r="G43" s="7" t="s">
        <v>49</v>
      </c>
      <c r="H43" s="7" t="s">
        <v>60</v>
      </c>
      <c r="I43" s="7">
        <v>4</v>
      </c>
      <c r="J43" s="9">
        <v>96.63</v>
      </c>
      <c r="K43" s="10">
        <v>9.4100000000000003E-2</v>
      </c>
      <c r="L43" s="9">
        <f t="shared" si="0"/>
        <v>350.14846799999998</v>
      </c>
      <c r="M43" s="9">
        <f>ROUND(L43*0.5845,2)</f>
        <v>204.66</v>
      </c>
      <c r="N43" s="9">
        <f t="shared" si="1"/>
        <v>145.48846799999998</v>
      </c>
    </row>
    <row r="44" spans="1:14" x14ac:dyDescent="0.35">
      <c r="A44" s="7" t="s">
        <v>123</v>
      </c>
      <c r="B44" s="8">
        <v>45677</v>
      </c>
      <c r="C44" s="7" t="s">
        <v>76</v>
      </c>
      <c r="D44" s="7" t="s">
        <v>40</v>
      </c>
      <c r="E44" s="7" t="s">
        <v>62</v>
      </c>
      <c r="F44" s="7" t="s">
        <v>42</v>
      </c>
      <c r="G44" s="7" t="s">
        <v>43</v>
      </c>
      <c r="H44" s="7" t="s">
        <v>110</v>
      </c>
      <c r="I44" s="7">
        <v>35</v>
      </c>
      <c r="J44" s="9">
        <v>197.54</v>
      </c>
      <c r="K44" s="10">
        <v>0.1545</v>
      </c>
      <c r="L44" s="9">
        <f t="shared" si="0"/>
        <v>5845.7024499999998</v>
      </c>
      <c r="M44" s="9">
        <f>ROUND(L44*0.6489,2)</f>
        <v>3793.28</v>
      </c>
      <c r="N44" s="9">
        <f t="shared" si="1"/>
        <v>2052.4224499999996</v>
      </c>
    </row>
    <row r="45" spans="1:14" x14ac:dyDescent="0.35">
      <c r="A45" s="7" t="s">
        <v>124</v>
      </c>
      <c r="B45" s="8">
        <v>45677</v>
      </c>
      <c r="C45" s="7" t="s">
        <v>52</v>
      </c>
      <c r="D45" s="7" t="s">
        <v>40</v>
      </c>
      <c r="E45" s="7" t="s">
        <v>91</v>
      </c>
      <c r="F45" s="7" t="s">
        <v>59</v>
      </c>
      <c r="G45" s="7" t="s">
        <v>55</v>
      </c>
      <c r="H45" s="7" t="s">
        <v>56</v>
      </c>
      <c r="I45" s="7">
        <v>7</v>
      </c>
      <c r="J45" s="9">
        <v>126.16</v>
      </c>
      <c r="K45" s="10">
        <v>6.0499999999999998E-2</v>
      </c>
      <c r="L45" s="9">
        <f t="shared" si="0"/>
        <v>829.69123999999999</v>
      </c>
      <c r="M45" s="9">
        <f>ROUND(L45*0.6115,2)</f>
        <v>507.36</v>
      </c>
      <c r="N45" s="9">
        <f t="shared" si="1"/>
        <v>322.33123999999998</v>
      </c>
    </row>
    <row r="46" spans="1:14" x14ac:dyDescent="0.35">
      <c r="A46" s="7" t="s">
        <v>125</v>
      </c>
      <c r="B46" s="8">
        <v>45678</v>
      </c>
      <c r="C46" s="7" t="s">
        <v>46</v>
      </c>
      <c r="D46" s="7" t="s">
        <v>40</v>
      </c>
      <c r="E46" s="7" t="s">
        <v>41</v>
      </c>
      <c r="F46" s="7" t="s">
        <v>48</v>
      </c>
      <c r="G46" s="7" t="s">
        <v>49</v>
      </c>
      <c r="H46" s="7" t="s">
        <v>95</v>
      </c>
      <c r="I46" s="7">
        <v>3</v>
      </c>
      <c r="J46" s="9">
        <v>384.81</v>
      </c>
      <c r="K46" s="10">
        <v>3.1800000000000002E-2</v>
      </c>
      <c r="L46" s="9">
        <f t="shared" si="0"/>
        <v>1117.719126</v>
      </c>
      <c r="M46" s="9">
        <f>ROUND(L46*0.6317,2)</f>
        <v>706.06</v>
      </c>
      <c r="N46" s="9">
        <f t="shared" si="1"/>
        <v>411.65912600000001</v>
      </c>
    </row>
    <row r="47" spans="1:14" x14ac:dyDescent="0.35">
      <c r="A47" s="7" t="s">
        <v>126</v>
      </c>
      <c r="B47" s="8">
        <v>45678</v>
      </c>
      <c r="C47" s="7" t="s">
        <v>46</v>
      </c>
      <c r="D47" s="7" t="s">
        <v>69</v>
      </c>
      <c r="E47" s="7" t="s">
        <v>107</v>
      </c>
      <c r="F47" s="7" t="s">
        <v>59</v>
      </c>
      <c r="G47" s="7" t="s">
        <v>55</v>
      </c>
      <c r="H47" s="7" t="s">
        <v>74</v>
      </c>
      <c r="I47" s="7">
        <v>4</v>
      </c>
      <c r="J47" s="9">
        <v>59.83</v>
      </c>
      <c r="K47" s="10">
        <v>3.7199999999999997E-2</v>
      </c>
      <c r="L47" s="9">
        <f t="shared" si="0"/>
        <v>230.41729599999999</v>
      </c>
      <c r="M47" s="9">
        <f>ROUND(L47*0.2152,2)</f>
        <v>49.59</v>
      </c>
      <c r="N47" s="9">
        <f t="shared" si="1"/>
        <v>180.82729599999999</v>
      </c>
    </row>
    <row r="48" spans="1:14" x14ac:dyDescent="0.35">
      <c r="A48" s="7" t="s">
        <v>127</v>
      </c>
      <c r="B48" s="8">
        <v>45679</v>
      </c>
      <c r="C48" s="7" t="s">
        <v>39</v>
      </c>
      <c r="D48" s="7" t="s">
        <v>40</v>
      </c>
      <c r="E48" s="7" t="s">
        <v>91</v>
      </c>
      <c r="F48" s="7" t="s">
        <v>59</v>
      </c>
      <c r="G48" s="7" t="s">
        <v>49</v>
      </c>
      <c r="H48" s="7" t="s">
        <v>44</v>
      </c>
      <c r="I48" s="7">
        <v>5</v>
      </c>
      <c r="J48" s="9">
        <v>129.94</v>
      </c>
      <c r="K48" s="10">
        <v>7.3099999999999998E-2</v>
      </c>
      <c r="L48" s="9">
        <f t="shared" si="0"/>
        <v>602.20693000000006</v>
      </c>
      <c r="M48" s="9">
        <f>ROUND(L48*0.6644,2)</f>
        <v>400.11</v>
      </c>
      <c r="N48" s="9">
        <f t="shared" si="1"/>
        <v>202.09693000000004</v>
      </c>
    </row>
    <row r="49" spans="1:14" x14ac:dyDescent="0.35">
      <c r="A49" s="7" t="s">
        <v>128</v>
      </c>
      <c r="B49" s="8">
        <v>45679</v>
      </c>
      <c r="C49" s="7" t="s">
        <v>52</v>
      </c>
      <c r="D49" s="7" t="s">
        <v>53</v>
      </c>
      <c r="E49" s="7" t="s">
        <v>87</v>
      </c>
      <c r="F49" s="7" t="s">
        <v>59</v>
      </c>
      <c r="G49" s="7" t="s">
        <v>49</v>
      </c>
      <c r="H49" s="7" t="s">
        <v>64</v>
      </c>
      <c r="I49" s="7">
        <v>8</v>
      </c>
      <c r="J49" s="9">
        <v>853.8</v>
      </c>
      <c r="K49" s="10">
        <v>6.6699999999999995E-2</v>
      </c>
      <c r="L49" s="9">
        <f t="shared" si="0"/>
        <v>6374.81232</v>
      </c>
      <c r="M49" s="9">
        <f>ROUND(L49*0.7203,2)</f>
        <v>4591.78</v>
      </c>
      <c r="N49" s="9">
        <f t="shared" si="1"/>
        <v>1783.0323200000003</v>
      </c>
    </row>
    <row r="50" spans="1:14" x14ac:dyDescent="0.35">
      <c r="A50" s="7" t="s">
        <v>129</v>
      </c>
      <c r="B50" s="8">
        <v>45680</v>
      </c>
      <c r="C50" s="7" t="s">
        <v>52</v>
      </c>
      <c r="D50" s="7" t="s">
        <v>40</v>
      </c>
      <c r="E50" s="7" t="s">
        <v>91</v>
      </c>
      <c r="F50" s="7" t="s">
        <v>42</v>
      </c>
      <c r="G50" s="7" t="s">
        <v>43</v>
      </c>
      <c r="H50" s="7" t="s">
        <v>71</v>
      </c>
      <c r="I50" s="7">
        <v>17</v>
      </c>
      <c r="J50" s="9">
        <v>125.71</v>
      </c>
      <c r="K50" s="10">
        <v>0.20319999999999999</v>
      </c>
      <c r="L50" s="9">
        <f t="shared" si="0"/>
        <v>1702.8173759999997</v>
      </c>
      <c r="M50" s="9">
        <f>ROUND(L50*0.6319,2)</f>
        <v>1076.01</v>
      </c>
      <c r="N50" s="9">
        <f t="shared" si="1"/>
        <v>626.80737599999975</v>
      </c>
    </row>
    <row r="51" spans="1:14" x14ac:dyDescent="0.35">
      <c r="A51" s="7" t="s">
        <v>130</v>
      </c>
      <c r="B51" s="8">
        <v>45681</v>
      </c>
      <c r="C51" s="7" t="s">
        <v>52</v>
      </c>
      <c r="D51" s="7" t="s">
        <v>53</v>
      </c>
      <c r="E51" s="7" t="s">
        <v>81</v>
      </c>
      <c r="F51" s="7" t="s">
        <v>42</v>
      </c>
      <c r="G51" s="7" t="s">
        <v>43</v>
      </c>
      <c r="H51" s="7" t="s">
        <v>71</v>
      </c>
      <c r="I51" s="7">
        <v>39</v>
      </c>
      <c r="J51" s="9">
        <v>1087.94</v>
      </c>
      <c r="K51" s="10">
        <v>0.1535</v>
      </c>
      <c r="L51" s="9">
        <f t="shared" si="0"/>
        <v>35916.707190000001</v>
      </c>
      <c r="M51" s="9">
        <f>ROUND(L51*0.6846,2)</f>
        <v>24588.58</v>
      </c>
      <c r="N51" s="9">
        <f t="shared" si="1"/>
        <v>11328.127189999999</v>
      </c>
    </row>
    <row r="52" spans="1:14" x14ac:dyDescent="0.35">
      <c r="A52" s="7" t="s">
        <v>131</v>
      </c>
      <c r="B52" s="8">
        <v>45681</v>
      </c>
      <c r="C52" s="7" t="s">
        <v>46</v>
      </c>
      <c r="D52" s="7" t="s">
        <v>69</v>
      </c>
      <c r="E52" s="7" t="s">
        <v>132</v>
      </c>
      <c r="F52" s="7" t="s">
        <v>42</v>
      </c>
      <c r="G52" s="7" t="s">
        <v>43</v>
      </c>
      <c r="H52" s="7" t="s">
        <v>50</v>
      </c>
      <c r="I52" s="7">
        <v>26</v>
      </c>
      <c r="J52" s="9">
        <v>75.62</v>
      </c>
      <c r="K52" s="10">
        <v>0.17829999999999999</v>
      </c>
      <c r="L52" s="9">
        <f t="shared" si="0"/>
        <v>1615.560804</v>
      </c>
      <c r="M52" s="9">
        <f>ROUND(L52*0.2464,2)</f>
        <v>398.07</v>
      </c>
      <c r="N52" s="9">
        <f t="shared" si="1"/>
        <v>1217.490804</v>
      </c>
    </row>
    <row r="53" spans="1:14" x14ac:dyDescent="0.35">
      <c r="A53" s="7" t="s">
        <v>133</v>
      </c>
      <c r="B53" s="8">
        <v>45682</v>
      </c>
      <c r="C53" s="7" t="s">
        <v>39</v>
      </c>
      <c r="D53" s="7" t="s">
        <v>40</v>
      </c>
      <c r="E53" s="7" t="s">
        <v>47</v>
      </c>
      <c r="F53" s="7" t="s">
        <v>42</v>
      </c>
      <c r="G53" s="7" t="s">
        <v>55</v>
      </c>
      <c r="H53" s="7" t="s">
        <v>108</v>
      </c>
      <c r="I53" s="7">
        <v>35</v>
      </c>
      <c r="J53" s="9">
        <v>250.21</v>
      </c>
      <c r="K53" s="10">
        <v>8.2100000000000006E-2</v>
      </c>
      <c r="L53" s="9">
        <f t="shared" si="0"/>
        <v>8038.3715649999995</v>
      </c>
      <c r="M53" s="9">
        <f>ROUND(L53*0.6667,2)</f>
        <v>5359.18</v>
      </c>
      <c r="N53" s="9">
        <f t="shared" si="1"/>
        <v>2679.1915649999992</v>
      </c>
    </row>
    <row r="54" spans="1:14" x14ac:dyDescent="0.35">
      <c r="A54" s="7" t="s">
        <v>134</v>
      </c>
      <c r="B54" s="8">
        <v>45682</v>
      </c>
      <c r="C54" s="7" t="s">
        <v>76</v>
      </c>
      <c r="D54" s="7" t="s">
        <v>66</v>
      </c>
      <c r="E54" s="7" t="s">
        <v>73</v>
      </c>
      <c r="F54" s="7" t="s">
        <v>48</v>
      </c>
      <c r="G54" s="7" t="s">
        <v>49</v>
      </c>
      <c r="H54" s="7" t="s">
        <v>110</v>
      </c>
      <c r="I54" s="7">
        <v>3</v>
      </c>
      <c r="J54" s="9">
        <v>38.96</v>
      </c>
      <c r="K54" s="10">
        <v>5.79E-2</v>
      </c>
      <c r="L54" s="9">
        <f t="shared" si="0"/>
        <v>110.11264800000001</v>
      </c>
      <c r="M54" s="9">
        <f>ROUND(L54*0.5627,2)</f>
        <v>61.96</v>
      </c>
      <c r="N54" s="9">
        <f t="shared" si="1"/>
        <v>48.152648000000006</v>
      </c>
    </row>
    <row r="55" spans="1:14" x14ac:dyDescent="0.35">
      <c r="A55" s="7" t="s">
        <v>135</v>
      </c>
      <c r="B55" s="8">
        <v>45682</v>
      </c>
      <c r="C55" s="7" t="s">
        <v>39</v>
      </c>
      <c r="D55" s="7" t="s">
        <v>40</v>
      </c>
      <c r="E55" s="7" t="s">
        <v>62</v>
      </c>
      <c r="F55" s="7" t="s">
        <v>48</v>
      </c>
      <c r="G55" s="7" t="s">
        <v>55</v>
      </c>
      <c r="H55" s="7" t="s">
        <v>108</v>
      </c>
      <c r="I55" s="7">
        <v>1</v>
      </c>
      <c r="J55" s="9">
        <v>198.26</v>
      </c>
      <c r="K55" s="10">
        <v>2.3800000000000002E-2</v>
      </c>
      <c r="L55" s="9">
        <f t="shared" si="0"/>
        <v>193.54141199999998</v>
      </c>
      <c r="M55" s="9">
        <f>ROUND(L55*0.6626,2)</f>
        <v>128.24</v>
      </c>
      <c r="N55" s="9">
        <f t="shared" si="1"/>
        <v>65.301411999999971</v>
      </c>
    </row>
    <row r="56" spans="1:14" x14ac:dyDescent="0.35">
      <c r="A56" s="7" t="s">
        <v>136</v>
      </c>
      <c r="B56" s="8">
        <v>45683</v>
      </c>
      <c r="C56" s="7" t="s">
        <v>52</v>
      </c>
      <c r="D56" s="7" t="s">
        <v>66</v>
      </c>
      <c r="E56" s="7" t="s">
        <v>137</v>
      </c>
      <c r="F56" s="7" t="s">
        <v>48</v>
      </c>
      <c r="G56" s="7" t="s">
        <v>49</v>
      </c>
      <c r="H56" s="7" t="s">
        <v>83</v>
      </c>
      <c r="I56" s="7">
        <v>3</v>
      </c>
      <c r="J56" s="9">
        <v>149.34</v>
      </c>
      <c r="K56" s="10">
        <v>4.7699999999999999E-2</v>
      </c>
      <c r="L56" s="9">
        <f t="shared" si="0"/>
        <v>426.64944600000001</v>
      </c>
      <c r="M56" s="9">
        <f>ROUND(L56*0.5659,2)</f>
        <v>241.44</v>
      </c>
      <c r="N56" s="9">
        <f t="shared" si="1"/>
        <v>185.20944600000001</v>
      </c>
    </row>
    <row r="57" spans="1:14" x14ac:dyDescent="0.35">
      <c r="A57" s="7" t="s">
        <v>138</v>
      </c>
      <c r="B57" s="8">
        <v>45683</v>
      </c>
      <c r="C57" s="7" t="s">
        <v>39</v>
      </c>
      <c r="D57" s="7" t="s">
        <v>40</v>
      </c>
      <c r="E57" s="7" t="s">
        <v>139</v>
      </c>
      <c r="F57" s="7" t="s">
        <v>59</v>
      </c>
      <c r="G57" s="7" t="s">
        <v>49</v>
      </c>
      <c r="H57" s="7" t="s">
        <v>44</v>
      </c>
      <c r="I57" s="7">
        <v>3</v>
      </c>
      <c r="J57" s="9">
        <v>321.14999999999998</v>
      </c>
      <c r="K57" s="10">
        <v>0.10879999999999999</v>
      </c>
      <c r="L57" s="9">
        <f t="shared" si="0"/>
        <v>858.62663999999995</v>
      </c>
      <c r="M57" s="9">
        <f>ROUND(L57*0.6549,2)</f>
        <v>562.30999999999995</v>
      </c>
      <c r="N57" s="9">
        <f t="shared" si="1"/>
        <v>296.31664000000001</v>
      </c>
    </row>
    <row r="58" spans="1:14" x14ac:dyDescent="0.35">
      <c r="A58" s="7" t="s">
        <v>140</v>
      </c>
      <c r="B58" s="8">
        <v>45685</v>
      </c>
      <c r="C58" s="7" t="s">
        <v>39</v>
      </c>
      <c r="D58" s="7" t="s">
        <v>40</v>
      </c>
      <c r="E58" s="7" t="s">
        <v>41</v>
      </c>
      <c r="F58" s="7" t="s">
        <v>48</v>
      </c>
      <c r="G58" s="7" t="s">
        <v>55</v>
      </c>
      <c r="H58" s="7" t="s">
        <v>108</v>
      </c>
      <c r="I58" s="7">
        <v>1</v>
      </c>
      <c r="J58" s="9">
        <v>410.64</v>
      </c>
      <c r="K58" s="10">
        <v>4.1500000000000002E-2</v>
      </c>
      <c r="L58" s="9">
        <f t="shared" si="0"/>
        <v>393.59843999999998</v>
      </c>
      <c r="M58" s="9">
        <f>ROUND(L58*0.6586,2)</f>
        <v>259.22000000000003</v>
      </c>
      <c r="N58" s="9">
        <f t="shared" si="1"/>
        <v>134.37843999999996</v>
      </c>
    </row>
    <row r="59" spans="1:14" x14ac:dyDescent="0.35">
      <c r="A59" s="7" t="s">
        <v>141</v>
      </c>
      <c r="B59" s="8">
        <v>45685</v>
      </c>
      <c r="C59" s="7" t="s">
        <v>76</v>
      </c>
      <c r="D59" s="7" t="s">
        <v>66</v>
      </c>
      <c r="E59" s="7" t="s">
        <v>98</v>
      </c>
      <c r="F59" s="7" t="s">
        <v>42</v>
      </c>
      <c r="G59" s="7" t="s">
        <v>43</v>
      </c>
      <c r="H59" s="7" t="s">
        <v>110</v>
      </c>
      <c r="I59" s="7">
        <v>22</v>
      </c>
      <c r="J59" s="9">
        <v>27.9</v>
      </c>
      <c r="K59" s="10">
        <v>0.23280000000000001</v>
      </c>
      <c r="L59" s="9">
        <f t="shared" si="0"/>
        <v>470.90735999999998</v>
      </c>
      <c r="M59" s="9">
        <f>ROUND(L59*0.5733,2)</f>
        <v>269.97000000000003</v>
      </c>
      <c r="N59" s="9">
        <f t="shared" si="1"/>
        <v>200.93735999999996</v>
      </c>
    </row>
    <row r="60" spans="1:14" x14ac:dyDescent="0.35">
      <c r="A60" s="7" t="s">
        <v>142</v>
      </c>
      <c r="B60" s="8">
        <v>45685</v>
      </c>
      <c r="C60" s="7" t="s">
        <v>76</v>
      </c>
      <c r="D60" s="7" t="s">
        <v>53</v>
      </c>
      <c r="E60" s="7" t="s">
        <v>58</v>
      </c>
      <c r="F60" s="7" t="s">
        <v>59</v>
      </c>
      <c r="G60" s="7" t="s">
        <v>43</v>
      </c>
      <c r="H60" s="7" t="s">
        <v>110</v>
      </c>
      <c r="I60" s="7">
        <v>6</v>
      </c>
      <c r="J60" s="9">
        <v>666.73</v>
      </c>
      <c r="K60" s="10">
        <v>0.10920000000000001</v>
      </c>
      <c r="L60" s="9">
        <f t="shared" si="0"/>
        <v>3563.5385040000001</v>
      </c>
      <c r="M60" s="9">
        <f>ROUND(L60*0.6928,2)</f>
        <v>2468.8200000000002</v>
      </c>
      <c r="N60" s="9">
        <f t="shared" si="1"/>
        <v>1094.7185039999999</v>
      </c>
    </row>
    <row r="61" spans="1:14" x14ac:dyDescent="0.35">
      <c r="A61" s="7" t="s">
        <v>143</v>
      </c>
      <c r="B61" s="8">
        <v>45686</v>
      </c>
      <c r="C61" s="7" t="s">
        <v>52</v>
      </c>
      <c r="D61" s="7" t="s">
        <v>66</v>
      </c>
      <c r="E61" s="7" t="s">
        <v>67</v>
      </c>
      <c r="F61" s="7" t="s">
        <v>48</v>
      </c>
      <c r="G61" s="7" t="s">
        <v>55</v>
      </c>
      <c r="H61" s="7" t="s">
        <v>56</v>
      </c>
      <c r="I61" s="7">
        <v>2</v>
      </c>
      <c r="J61" s="9">
        <v>91.15</v>
      </c>
      <c r="K61" s="10">
        <v>4.9000000000000002E-2</v>
      </c>
      <c r="L61" s="9">
        <f t="shared" si="0"/>
        <v>173.3673</v>
      </c>
      <c r="M61" s="9">
        <f>ROUND(L61*0.5986,2)</f>
        <v>103.78</v>
      </c>
      <c r="N61" s="9">
        <f t="shared" si="1"/>
        <v>69.587299999999999</v>
      </c>
    </row>
    <row r="62" spans="1:14" x14ac:dyDescent="0.35">
      <c r="A62" s="7" t="s">
        <v>144</v>
      </c>
      <c r="B62" s="8">
        <v>45686</v>
      </c>
      <c r="C62" s="7" t="s">
        <v>46</v>
      </c>
      <c r="D62" s="7" t="s">
        <v>53</v>
      </c>
      <c r="E62" s="7" t="s">
        <v>105</v>
      </c>
      <c r="F62" s="7" t="s">
        <v>48</v>
      </c>
      <c r="G62" s="7" t="s">
        <v>55</v>
      </c>
      <c r="H62" s="7" t="s">
        <v>74</v>
      </c>
      <c r="I62" s="7">
        <v>1</v>
      </c>
      <c r="J62" s="9">
        <v>456.82</v>
      </c>
      <c r="K62" s="10">
        <v>5.11E-2</v>
      </c>
      <c r="L62" s="9">
        <f t="shared" si="0"/>
        <v>433.47649799999999</v>
      </c>
      <c r="M62" s="9">
        <f>ROUND(L62*0.7181,2)</f>
        <v>311.27999999999997</v>
      </c>
      <c r="N62" s="9">
        <f t="shared" si="1"/>
        <v>122.19649800000002</v>
      </c>
    </row>
    <row r="63" spans="1:14" x14ac:dyDescent="0.35">
      <c r="A63" s="7" t="s">
        <v>145</v>
      </c>
      <c r="B63" s="8">
        <v>45686</v>
      </c>
      <c r="C63" s="7" t="s">
        <v>52</v>
      </c>
      <c r="D63" s="7" t="s">
        <v>53</v>
      </c>
      <c r="E63" s="7" t="s">
        <v>54</v>
      </c>
      <c r="F63" s="7" t="s">
        <v>48</v>
      </c>
      <c r="G63" s="7" t="s">
        <v>49</v>
      </c>
      <c r="H63" s="7" t="s">
        <v>64</v>
      </c>
      <c r="I63" s="7">
        <v>3</v>
      </c>
      <c r="J63" s="9">
        <v>1278.8699999999999</v>
      </c>
      <c r="K63" s="10">
        <v>6.1199999999999997E-2</v>
      </c>
      <c r="L63" s="9">
        <f t="shared" si="0"/>
        <v>3601.8094679999995</v>
      </c>
      <c r="M63" s="9">
        <f>ROUND(L63*0.7242,2)</f>
        <v>2608.4299999999998</v>
      </c>
      <c r="N63" s="9">
        <f t="shared" si="1"/>
        <v>993.37946799999963</v>
      </c>
    </row>
    <row r="64" spans="1:14" x14ac:dyDescent="0.35">
      <c r="A64" s="7" t="s">
        <v>146</v>
      </c>
      <c r="B64" s="8">
        <v>45687</v>
      </c>
      <c r="C64" s="7" t="s">
        <v>46</v>
      </c>
      <c r="D64" s="7" t="s">
        <v>66</v>
      </c>
      <c r="E64" s="7" t="s">
        <v>137</v>
      </c>
      <c r="F64" s="7" t="s">
        <v>48</v>
      </c>
      <c r="G64" s="7" t="s">
        <v>55</v>
      </c>
      <c r="H64" s="7" t="s">
        <v>74</v>
      </c>
      <c r="I64" s="7">
        <v>1</v>
      </c>
      <c r="J64" s="9">
        <v>158.21</v>
      </c>
      <c r="K64" s="10">
        <v>5.7099999999999998E-2</v>
      </c>
      <c r="L64" s="9">
        <f t="shared" si="0"/>
        <v>149.176209</v>
      </c>
      <c r="M64" s="9">
        <f>ROUND(L64*0.5682,2)</f>
        <v>84.76</v>
      </c>
      <c r="N64" s="9">
        <f t="shared" si="1"/>
        <v>64.416208999999995</v>
      </c>
    </row>
    <row r="65" spans="1:14" x14ac:dyDescent="0.35">
      <c r="A65" s="7" t="s">
        <v>147</v>
      </c>
      <c r="B65" s="8">
        <v>45687</v>
      </c>
      <c r="C65" s="7" t="s">
        <v>52</v>
      </c>
      <c r="D65" s="7" t="s">
        <v>40</v>
      </c>
      <c r="E65" s="7" t="s">
        <v>41</v>
      </c>
      <c r="F65" s="7" t="s">
        <v>42</v>
      </c>
      <c r="G65" s="7" t="s">
        <v>43</v>
      </c>
      <c r="H65" s="7" t="s">
        <v>64</v>
      </c>
      <c r="I65" s="7">
        <v>23</v>
      </c>
      <c r="J65" s="9">
        <v>396.24</v>
      </c>
      <c r="K65" s="10">
        <v>0.151</v>
      </c>
      <c r="L65" s="9">
        <f t="shared" si="0"/>
        <v>7737.3784800000003</v>
      </c>
      <c r="M65" s="9">
        <f>ROUND(L65*0.6436,2)</f>
        <v>4979.78</v>
      </c>
      <c r="N65" s="9">
        <f t="shared" si="1"/>
        <v>2757.5984800000006</v>
      </c>
    </row>
    <row r="66" spans="1:14" x14ac:dyDescent="0.35">
      <c r="A66" s="7" t="s">
        <v>148</v>
      </c>
      <c r="B66" s="8">
        <v>45687</v>
      </c>
      <c r="C66" s="7" t="s">
        <v>52</v>
      </c>
      <c r="D66" s="7" t="s">
        <v>53</v>
      </c>
      <c r="E66" s="7" t="s">
        <v>54</v>
      </c>
      <c r="F66" s="7" t="s">
        <v>59</v>
      </c>
      <c r="G66" s="7" t="s">
        <v>43</v>
      </c>
      <c r="H66" s="7" t="s">
        <v>64</v>
      </c>
      <c r="I66" s="7">
        <v>6</v>
      </c>
      <c r="J66" s="9">
        <v>1232.48</v>
      </c>
      <c r="K66" s="10">
        <v>0.1298</v>
      </c>
      <c r="L66" s="9">
        <f t="shared" ref="L66:L129" si="2">I66*J66*(1-K66)</f>
        <v>6435.0245759999998</v>
      </c>
      <c r="M66" s="9">
        <f>ROUND(L66*0.731,2)</f>
        <v>4704</v>
      </c>
      <c r="N66" s="9">
        <f t="shared" ref="N66:N129" si="3">L66-M66</f>
        <v>1731.0245759999998</v>
      </c>
    </row>
    <row r="67" spans="1:14" x14ac:dyDescent="0.35">
      <c r="A67" s="7" t="s">
        <v>149</v>
      </c>
      <c r="B67" s="8">
        <v>45688</v>
      </c>
      <c r="C67" s="7" t="s">
        <v>46</v>
      </c>
      <c r="D67" s="7" t="s">
        <v>40</v>
      </c>
      <c r="E67" s="7" t="s">
        <v>139</v>
      </c>
      <c r="F67" s="7" t="s">
        <v>59</v>
      </c>
      <c r="G67" s="7" t="s">
        <v>43</v>
      </c>
      <c r="H67" s="7" t="s">
        <v>95</v>
      </c>
      <c r="I67" s="7">
        <v>8</v>
      </c>
      <c r="J67" s="9">
        <v>325.10000000000002</v>
      </c>
      <c r="K67" s="10">
        <v>0.16969999999999999</v>
      </c>
      <c r="L67" s="9">
        <f t="shared" si="2"/>
        <v>2159.4442400000003</v>
      </c>
      <c r="M67" s="9">
        <f>ROUND(L67*0.6538,2)</f>
        <v>1411.84</v>
      </c>
      <c r="N67" s="9">
        <f t="shared" si="3"/>
        <v>747.60424000000035</v>
      </c>
    </row>
    <row r="68" spans="1:14" x14ac:dyDescent="0.35">
      <c r="A68" s="7" t="s">
        <v>150</v>
      </c>
      <c r="B68" s="8">
        <v>45688</v>
      </c>
      <c r="C68" s="7" t="s">
        <v>76</v>
      </c>
      <c r="D68" s="7" t="s">
        <v>53</v>
      </c>
      <c r="E68" s="7" t="s">
        <v>87</v>
      </c>
      <c r="F68" s="7" t="s">
        <v>48</v>
      </c>
      <c r="G68" s="7" t="s">
        <v>43</v>
      </c>
      <c r="H68" s="7" t="s">
        <v>151</v>
      </c>
      <c r="I68" s="7">
        <v>2</v>
      </c>
      <c r="J68" s="9">
        <v>876.54</v>
      </c>
      <c r="K68" s="10">
        <v>1.0500000000000001E-2</v>
      </c>
      <c r="L68" s="9">
        <f t="shared" si="2"/>
        <v>1734.67266</v>
      </c>
      <c r="M68" s="9">
        <f>ROUND(L68*0.6869,2)</f>
        <v>1191.55</v>
      </c>
      <c r="N68" s="9">
        <f t="shared" si="3"/>
        <v>543.12266</v>
      </c>
    </row>
    <row r="69" spans="1:14" x14ac:dyDescent="0.35">
      <c r="A69" s="7" t="s">
        <v>152</v>
      </c>
      <c r="B69" s="8">
        <v>45689</v>
      </c>
      <c r="C69" s="7" t="s">
        <v>52</v>
      </c>
      <c r="D69" s="7" t="s">
        <v>53</v>
      </c>
      <c r="E69" s="7" t="s">
        <v>81</v>
      </c>
      <c r="F69" s="7" t="s">
        <v>42</v>
      </c>
      <c r="G69" s="7" t="s">
        <v>55</v>
      </c>
      <c r="H69" s="7" t="s">
        <v>56</v>
      </c>
      <c r="I69" s="7">
        <v>9</v>
      </c>
      <c r="J69" s="9">
        <v>1142.92</v>
      </c>
      <c r="K69" s="10">
        <v>8.2100000000000006E-2</v>
      </c>
      <c r="L69" s="9">
        <f t="shared" si="2"/>
        <v>9441.7764119999993</v>
      </c>
      <c r="M69" s="9">
        <f>ROUND(L69*0.6962,2)</f>
        <v>6573.36</v>
      </c>
      <c r="N69" s="9">
        <f t="shared" si="3"/>
        <v>2868.4164119999996</v>
      </c>
    </row>
    <row r="70" spans="1:14" x14ac:dyDescent="0.35">
      <c r="A70" s="7" t="s">
        <v>153</v>
      </c>
      <c r="B70" s="8">
        <v>45690</v>
      </c>
      <c r="C70" s="7" t="s">
        <v>76</v>
      </c>
      <c r="D70" s="7" t="s">
        <v>53</v>
      </c>
      <c r="E70" s="7" t="s">
        <v>87</v>
      </c>
      <c r="F70" s="7" t="s">
        <v>59</v>
      </c>
      <c r="G70" s="7" t="s">
        <v>43</v>
      </c>
      <c r="H70" s="7" t="s">
        <v>151</v>
      </c>
      <c r="I70" s="7">
        <v>7</v>
      </c>
      <c r="J70" s="9">
        <v>858.57</v>
      </c>
      <c r="K70" s="10">
        <v>0.1207</v>
      </c>
      <c r="L70" s="9">
        <f t="shared" si="2"/>
        <v>5284.5842070000008</v>
      </c>
      <c r="M70" s="9">
        <f>ROUND(L70*0.7181,2)</f>
        <v>3794.86</v>
      </c>
      <c r="N70" s="9">
        <f t="shared" si="3"/>
        <v>1489.7242070000007</v>
      </c>
    </row>
    <row r="71" spans="1:14" x14ac:dyDescent="0.35">
      <c r="A71" s="7" t="s">
        <v>154</v>
      </c>
      <c r="B71" s="8">
        <v>45690</v>
      </c>
      <c r="C71" s="7" t="s">
        <v>52</v>
      </c>
      <c r="D71" s="7" t="s">
        <v>66</v>
      </c>
      <c r="E71" s="7" t="s">
        <v>67</v>
      </c>
      <c r="F71" s="7" t="s">
        <v>59</v>
      </c>
      <c r="G71" s="7" t="s">
        <v>55</v>
      </c>
      <c r="H71" s="7" t="s">
        <v>56</v>
      </c>
      <c r="I71" s="7">
        <v>4</v>
      </c>
      <c r="J71" s="9">
        <v>90.33</v>
      </c>
      <c r="K71" s="10">
        <v>5.8599999999999999E-2</v>
      </c>
      <c r="L71" s="9">
        <f t="shared" si="2"/>
        <v>340.14664799999997</v>
      </c>
      <c r="M71" s="9">
        <f>ROUND(L71*0.5973,2)</f>
        <v>203.17</v>
      </c>
      <c r="N71" s="9">
        <f t="shared" si="3"/>
        <v>136.97664799999998</v>
      </c>
    </row>
    <row r="72" spans="1:14" x14ac:dyDescent="0.35">
      <c r="A72" s="7" t="s">
        <v>155</v>
      </c>
      <c r="B72" s="8">
        <v>45691</v>
      </c>
      <c r="C72" s="7" t="s">
        <v>46</v>
      </c>
      <c r="D72" s="7" t="s">
        <v>40</v>
      </c>
      <c r="E72" s="7" t="s">
        <v>41</v>
      </c>
      <c r="F72" s="7" t="s">
        <v>48</v>
      </c>
      <c r="G72" s="7" t="s">
        <v>55</v>
      </c>
      <c r="H72" s="7" t="s">
        <v>74</v>
      </c>
      <c r="I72" s="7">
        <v>3</v>
      </c>
      <c r="J72" s="9">
        <v>394.93</v>
      </c>
      <c r="K72" s="10">
        <v>6.5000000000000002E-2</v>
      </c>
      <c r="L72" s="9">
        <f t="shared" si="2"/>
        <v>1107.77865</v>
      </c>
      <c r="M72" s="9">
        <f>ROUND(L72*0.6136,2)</f>
        <v>679.73</v>
      </c>
      <c r="N72" s="9">
        <f t="shared" si="3"/>
        <v>428.04864999999995</v>
      </c>
    </row>
    <row r="73" spans="1:14" x14ac:dyDescent="0.35">
      <c r="A73" s="7" t="s">
        <v>156</v>
      </c>
      <c r="B73" s="8">
        <v>45691</v>
      </c>
      <c r="C73" s="7" t="s">
        <v>76</v>
      </c>
      <c r="D73" s="7" t="s">
        <v>40</v>
      </c>
      <c r="E73" s="7" t="s">
        <v>41</v>
      </c>
      <c r="F73" s="7" t="s">
        <v>42</v>
      </c>
      <c r="G73" s="7" t="s">
        <v>43</v>
      </c>
      <c r="H73" s="7" t="s">
        <v>110</v>
      </c>
      <c r="I73" s="7">
        <v>17</v>
      </c>
      <c r="J73" s="9">
        <v>400.05</v>
      </c>
      <c r="K73" s="10">
        <v>0.14660000000000001</v>
      </c>
      <c r="L73" s="9">
        <f t="shared" si="2"/>
        <v>5803.8453899999995</v>
      </c>
      <c r="M73" s="9">
        <f>ROUND(L73*0.6266,2)</f>
        <v>3636.69</v>
      </c>
      <c r="N73" s="9">
        <f t="shared" si="3"/>
        <v>2167.1553899999994</v>
      </c>
    </row>
    <row r="74" spans="1:14" x14ac:dyDescent="0.35">
      <c r="A74" s="7" t="s">
        <v>157</v>
      </c>
      <c r="B74" s="8">
        <v>45691</v>
      </c>
      <c r="C74" s="7" t="s">
        <v>76</v>
      </c>
      <c r="D74" s="7" t="s">
        <v>66</v>
      </c>
      <c r="E74" s="7" t="s">
        <v>77</v>
      </c>
      <c r="F74" s="7" t="s">
        <v>59</v>
      </c>
      <c r="G74" s="7" t="s">
        <v>55</v>
      </c>
      <c r="H74" s="7" t="s">
        <v>78</v>
      </c>
      <c r="I74" s="7">
        <v>7</v>
      </c>
      <c r="J74" s="9">
        <v>98.52</v>
      </c>
      <c r="K74" s="10">
        <v>5.2299999999999999E-2</v>
      </c>
      <c r="L74" s="9">
        <f t="shared" si="2"/>
        <v>653.57182799999998</v>
      </c>
      <c r="M74" s="9">
        <f>ROUND(L74*0.5682,2)</f>
        <v>371.36</v>
      </c>
      <c r="N74" s="9">
        <f t="shared" si="3"/>
        <v>282.21182799999997</v>
      </c>
    </row>
    <row r="75" spans="1:14" x14ac:dyDescent="0.35">
      <c r="A75" s="7" t="s">
        <v>158</v>
      </c>
      <c r="B75" s="8">
        <v>45692</v>
      </c>
      <c r="C75" s="7" t="s">
        <v>76</v>
      </c>
      <c r="D75" s="7" t="s">
        <v>69</v>
      </c>
      <c r="E75" s="7" t="s">
        <v>119</v>
      </c>
      <c r="F75" s="7" t="s">
        <v>59</v>
      </c>
      <c r="G75" s="7" t="s">
        <v>49</v>
      </c>
      <c r="H75" s="7" t="s">
        <v>151</v>
      </c>
      <c r="I75" s="7">
        <v>8</v>
      </c>
      <c r="J75" s="9">
        <v>186.98</v>
      </c>
      <c r="K75" s="10">
        <v>8.2799999999999999E-2</v>
      </c>
      <c r="L75" s="9">
        <f t="shared" si="2"/>
        <v>1371.9844479999999</v>
      </c>
      <c r="M75" s="9">
        <f>ROUND(L75*0.2115,2)</f>
        <v>290.17</v>
      </c>
      <c r="N75" s="9">
        <f t="shared" si="3"/>
        <v>1081.8144479999999</v>
      </c>
    </row>
    <row r="76" spans="1:14" x14ac:dyDescent="0.35">
      <c r="A76" s="7" t="s">
        <v>159</v>
      </c>
      <c r="B76" s="8">
        <v>45692</v>
      </c>
      <c r="C76" s="7" t="s">
        <v>39</v>
      </c>
      <c r="D76" s="7" t="s">
        <v>53</v>
      </c>
      <c r="E76" s="7" t="s">
        <v>87</v>
      </c>
      <c r="F76" s="7" t="s">
        <v>42</v>
      </c>
      <c r="G76" s="7" t="s">
        <v>43</v>
      </c>
      <c r="H76" s="7" t="s">
        <v>60</v>
      </c>
      <c r="I76" s="7">
        <v>17</v>
      </c>
      <c r="J76" s="9">
        <v>902.95</v>
      </c>
      <c r="K76" s="10">
        <v>0.2369</v>
      </c>
      <c r="L76" s="9">
        <f t="shared" si="2"/>
        <v>11713.699465000002</v>
      </c>
      <c r="M76" s="9">
        <f>ROUND(L76*0.6851,2)</f>
        <v>8025.06</v>
      </c>
      <c r="N76" s="9">
        <f t="shared" si="3"/>
        <v>3688.6394650000011</v>
      </c>
    </row>
    <row r="77" spans="1:14" x14ac:dyDescent="0.35">
      <c r="A77" s="7" t="s">
        <v>160</v>
      </c>
      <c r="B77" s="8">
        <v>45692</v>
      </c>
      <c r="C77" s="7" t="s">
        <v>46</v>
      </c>
      <c r="D77" s="7" t="s">
        <v>69</v>
      </c>
      <c r="E77" s="7" t="s">
        <v>107</v>
      </c>
      <c r="F77" s="7" t="s">
        <v>42</v>
      </c>
      <c r="G77" s="7" t="s">
        <v>43</v>
      </c>
      <c r="H77" s="7" t="s">
        <v>95</v>
      </c>
      <c r="I77" s="7">
        <v>19</v>
      </c>
      <c r="J77" s="9">
        <v>59.97</v>
      </c>
      <c r="K77" s="10">
        <v>0.16669999999999999</v>
      </c>
      <c r="L77" s="9">
        <f t="shared" si="2"/>
        <v>949.48701900000015</v>
      </c>
      <c r="M77" s="9">
        <f>ROUND(L77*0.2617,2)</f>
        <v>248.48</v>
      </c>
      <c r="N77" s="9">
        <f t="shared" si="3"/>
        <v>701.00701900000013</v>
      </c>
    </row>
    <row r="78" spans="1:14" x14ac:dyDescent="0.35">
      <c r="A78" s="7" t="s">
        <v>161</v>
      </c>
      <c r="B78" s="8">
        <v>45692</v>
      </c>
      <c r="C78" s="7" t="s">
        <v>52</v>
      </c>
      <c r="D78" s="7" t="s">
        <v>66</v>
      </c>
      <c r="E78" s="7" t="s">
        <v>98</v>
      </c>
      <c r="F78" s="7" t="s">
        <v>59</v>
      </c>
      <c r="G78" s="7" t="s">
        <v>43</v>
      </c>
      <c r="H78" s="7" t="s">
        <v>71</v>
      </c>
      <c r="I78" s="7">
        <v>3</v>
      </c>
      <c r="J78" s="9">
        <v>28.19</v>
      </c>
      <c r="K78" s="10">
        <v>0.12970000000000001</v>
      </c>
      <c r="L78" s="9">
        <f t="shared" si="2"/>
        <v>73.601270999999997</v>
      </c>
      <c r="M78" s="9">
        <f>ROUND(L78*0.5573,2)</f>
        <v>41.02</v>
      </c>
      <c r="N78" s="9">
        <f t="shared" si="3"/>
        <v>32.581270999999994</v>
      </c>
    </row>
    <row r="79" spans="1:14" x14ac:dyDescent="0.35">
      <c r="A79" s="7" t="s">
        <v>162</v>
      </c>
      <c r="B79" s="8">
        <v>45692</v>
      </c>
      <c r="C79" s="7" t="s">
        <v>46</v>
      </c>
      <c r="D79" s="7" t="s">
        <v>66</v>
      </c>
      <c r="E79" s="7" t="s">
        <v>98</v>
      </c>
      <c r="F79" s="7" t="s">
        <v>42</v>
      </c>
      <c r="G79" s="7" t="s">
        <v>43</v>
      </c>
      <c r="H79" s="7" t="s">
        <v>95</v>
      </c>
      <c r="I79" s="7">
        <v>31</v>
      </c>
      <c r="J79" s="9">
        <v>28.95</v>
      </c>
      <c r="K79" s="10">
        <v>0.17130000000000001</v>
      </c>
      <c r="L79" s="9">
        <f t="shared" si="2"/>
        <v>743.71681499999988</v>
      </c>
      <c r="M79" s="9">
        <f>ROUND(L79*0.5677,2)</f>
        <v>422.21</v>
      </c>
      <c r="N79" s="9">
        <f t="shared" si="3"/>
        <v>321.5068149999999</v>
      </c>
    </row>
    <row r="80" spans="1:14" x14ac:dyDescent="0.35">
      <c r="A80" s="7" t="s">
        <v>163</v>
      </c>
      <c r="B80" s="8">
        <v>45693</v>
      </c>
      <c r="C80" s="7" t="s">
        <v>52</v>
      </c>
      <c r="D80" s="7" t="s">
        <v>40</v>
      </c>
      <c r="E80" s="7" t="s">
        <v>62</v>
      </c>
      <c r="F80" s="7" t="s">
        <v>42</v>
      </c>
      <c r="G80" s="7" t="s">
        <v>43</v>
      </c>
      <c r="H80" s="7" t="s">
        <v>64</v>
      </c>
      <c r="I80" s="7">
        <v>9</v>
      </c>
      <c r="J80" s="9">
        <v>189.28</v>
      </c>
      <c r="K80" s="10">
        <v>0.2135</v>
      </c>
      <c r="L80" s="9">
        <f t="shared" si="2"/>
        <v>1339.8184799999999</v>
      </c>
      <c r="M80" s="9">
        <f>ROUND(L80*0.6573,2)</f>
        <v>880.66</v>
      </c>
      <c r="N80" s="9">
        <f t="shared" si="3"/>
        <v>459.15847999999994</v>
      </c>
    </row>
    <row r="81" spans="1:14" x14ac:dyDescent="0.35">
      <c r="A81" s="7" t="s">
        <v>164</v>
      </c>
      <c r="B81" s="8">
        <v>45693</v>
      </c>
      <c r="C81" s="7" t="s">
        <v>52</v>
      </c>
      <c r="D81" s="7" t="s">
        <v>40</v>
      </c>
      <c r="E81" s="7" t="s">
        <v>91</v>
      </c>
      <c r="F81" s="7" t="s">
        <v>48</v>
      </c>
      <c r="G81" s="7" t="s">
        <v>55</v>
      </c>
      <c r="H81" s="7" t="s">
        <v>56</v>
      </c>
      <c r="I81" s="7">
        <v>1</v>
      </c>
      <c r="J81" s="9">
        <v>126.26</v>
      </c>
      <c r="K81" s="10">
        <v>4.1000000000000002E-2</v>
      </c>
      <c r="L81" s="9">
        <f t="shared" si="2"/>
        <v>121.08334000000001</v>
      </c>
      <c r="M81" s="9">
        <f>ROUND(L81*0.6333,2)</f>
        <v>76.680000000000007</v>
      </c>
      <c r="N81" s="9">
        <f t="shared" si="3"/>
        <v>44.40334</v>
      </c>
    </row>
    <row r="82" spans="1:14" x14ac:dyDescent="0.35">
      <c r="A82" s="7" t="s">
        <v>165</v>
      </c>
      <c r="B82" s="8">
        <v>45694</v>
      </c>
      <c r="C82" s="7" t="s">
        <v>39</v>
      </c>
      <c r="D82" s="7" t="s">
        <v>66</v>
      </c>
      <c r="E82" s="7" t="s">
        <v>67</v>
      </c>
      <c r="F82" s="7" t="s">
        <v>42</v>
      </c>
      <c r="G82" s="7" t="s">
        <v>49</v>
      </c>
      <c r="H82" s="7" t="s">
        <v>60</v>
      </c>
      <c r="I82" s="7">
        <v>30</v>
      </c>
      <c r="J82" s="9">
        <v>85.47</v>
      </c>
      <c r="K82" s="10">
        <v>0.1515</v>
      </c>
      <c r="L82" s="9">
        <f t="shared" si="2"/>
        <v>2175.6388499999998</v>
      </c>
      <c r="M82" s="9">
        <f>ROUND(L82*0.5819,2)</f>
        <v>1266</v>
      </c>
      <c r="N82" s="9">
        <f t="shared" si="3"/>
        <v>909.63884999999982</v>
      </c>
    </row>
    <row r="83" spans="1:14" x14ac:dyDescent="0.35">
      <c r="A83" s="7" t="s">
        <v>166</v>
      </c>
      <c r="B83" s="8">
        <v>45696</v>
      </c>
      <c r="C83" s="7" t="s">
        <v>76</v>
      </c>
      <c r="D83" s="7" t="s">
        <v>53</v>
      </c>
      <c r="E83" s="7" t="s">
        <v>105</v>
      </c>
      <c r="F83" s="7" t="s">
        <v>59</v>
      </c>
      <c r="G83" s="7" t="s">
        <v>55</v>
      </c>
      <c r="H83" s="7" t="s">
        <v>78</v>
      </c>
      <c r="I83" s="7">
        <v>6</v>
      </c>
      <c r="J83" s="9">
        <v>458.9</v>
      </c>
      <c r="K83" s="10">
        <v>7.6399999999999996E-2</v>
      </c>
      <c r="L83" s="9">
        <f t="shared" si="2"/>
        <v>2543.0402399999998</v>
      </c>
      <c r="M83" s="9">
        <f>ROUND(L83*0.7345,2)</f>
        <v>1867.86</v>
      </c>
      <c r="N83" s="9">
        <f t="shared" si="3"/>
        <v>675.18023999999991</v>
      </c>
    </row>
    <row r="84" spans="1:14" x14ac:dyDescent="0.35">
      <c r="A84" s="7" t="s">
        <v>167</v>
      </c>
      <c r="B84" s="8">
        <v>45696</v>
      </c>
      <c r="C84" s="7" t="s">
        <v>76</v>
      </c>
      <c r="D84" s="7" t="s">
        <v>66</v>
      </c>
      <c r="E84" s="7" t="s">
        <v>77</v>
      </c>
      <c r="F84" s="7" t="s">
        <v>48</v>
      </c>
      <c r="G84" s="7" t="s">
        <v>49</v>
      </c>
      <c r="H84" s="7" t="s">
        <v>151</v>
      </c>
      <c r="I84" s="7">
        <v>3</v>
      </c>
      <c r="J84" s="9">
        <v>98.08</v>
      </c>
      <c r="K84" s="10">
        <v>5.8099999999999999E-2</v>
      </c>
      <c r="L84" s="9">
        <f t="shared" si="2"/>
        <v>277.144656</v>
      </c>
      <c r="M84" s="9">
        <f>ROUND(L84*0.5582,2)</f>
        <v>154.69999999999999</v>
      </c>
      <c r="N84" s="9">
        <f t="shared" si="3"/>
        <v>122.44465600000001</v>
      </c>
    </row>
    <row r="85" spans="1:14" x14ac:dyDescent="0.35">
      <c r="A85" s="7" t="s">
        <v>168</v>
      </c>
      <c r="B85" s="8">
        <v>45697</v>
      </c>
      <c r="C85" s="7" t="s">
        <v>52</v>
      </c>
      <c r="D85" s="7" t="s">
        <v>53</v>
      </c>
      <c r="E85" s="7" t="s">
        <v>54</v>
      </c>
      <c r="F85" s="7" t="s">
        <v>42</v>
      </c>
      <c r="G85" s="7" t="s">
        <v>43</v>
      </c>
      <c r="H85" s="7" t="s">
        <v>83</v>
      </c>
      <c r="I85" s="7">
        <v>29</v>
      </c>
      <c r="J85" s="9">
        <v>1304</v>
      </c>
      <c r="K85" s="10">
        <v>0.17810000000000001</v>
      </c>
      <c r="L85" s="9">
        <f t="shared" si="2"/>
        <v>31080.970399999998</v>
      </c>
      <c r="M85" s="9">
        <f>ROUND(L85*0.6845,2)</f>
        <v>21274.92</v>
      </c>
      <c r="N85" s="9">
        <f t="shared" si="3"/>
        <v>9806.0504000000001</v>
      </c>
    </row>
    <row r="86" spans="1:14" x14ac:dyDescent="0.35">
      <c r="A86" s="7" t="s">
        <v>169</v>
      </c>
      <c r="B86" s="8">
        <v>45697</v>
      </c>
      <c r="C86" s="7" t="s">
        <v>46</v>
      </c>
      <c r="D86" s="7" t="s">
        <v>53</v>
      </c>
      <c r="E86" s="7" t="s">
        <v>81</v>
      </c>
      <c r="F86" s="7" t="s">
        <v>59</v>
      </c>
      <c r="G86" s="7" t="s">
        <v>55</v>
      </c>
      <c r="H86" s="7" t="s">
        <v>74</v>
      </c>
      <c r="I86" s="7">
        <v>5</v>
      </c>
      <c r="J86" s="9">
        <v>1071.8800000000001</v>
      </c>
      <c r="K86" s="10">
        <v>5.1299999999999998E-2</v>
      </c>
      <c r="L86" s="9">
        <f t="shared" si="2"/>
        <v>5084.4627800000007</v>
      </c>
      <c r="M86" s="9">
        <f>ROUND(L86*0.6966,2)</f>
        <v>3541.84</v>
      </c>
      <c r="N86" s="9">
        <f t="shared" si="3"/>
        <v>1542.6227800000006</v>
      </c>
    </row>
    <row r="87" spans="1:14" x14ac:dyDescent="0.35">
      <c r="A87" s="7" t="s">
        <v>170</v>
      </c>
      <c r="B87" s="8">
        <v>45697</v>
      </c>
      <c r="C87" s="7" t="s">
        <v>52</v>
      </c>
      <c r="D87" s="7" t="s">
        <v>69</v>
      </c>
      <c r="E87" s="7" t="s">
        <v>132</v>
      </c>
      <c r="F87" s="7" t="s">
        <v>59</v>
      </c>
      <c r="G87" s="7" t="s">
        <v>55</v>
      </c>
      <c r="H87" s="7" t="s">
        <v>56</v>
      </c>
      <c r="I87" s="7">
        <v>10</v>
      </c>
      <c r="J87" s="9">
        <v>81.099999999999994</v>
      </c>
      <c r="K87" s="10">
        <v>5.21E-2</v>
      </c>
      <c r="L87" s="9">
        <f t="shared" si="2"/>
        <v>768.74689999999998</v>
      </c>
      <c r="M87" s="9">
        <f>ROUND(L87*0.2565,2)</f>
        <v>197.18</v>
      </c>
      <c r="N87" s="9">
        <f t="shared" si="3"/>
        <v>571.56690000000003</v>
      </c>
    </row>
    <row r="88" spans="1:14" x14ac:dyDescent="0.35">
      <c r="A88" s="7" t="s">
        <v>171</v>
      </c>
      <c r="B88" s="8">
        <v>45698</v>
      </c>
      <c r="C88" s="7" t="s">
        <v>46</v>
      </c>
      <c r="D88" s="7" t="s">
        <v>69</v>
      </c>
      <c r="E88" s="7" t="s">
        <v>119</v>
      </c>
      <c r="F88" s="7" t="s">
        <v>42</v>
      </c>
      <c r="G88" s="7" t="s">
        <v>43</v>
      </c>
      <c r="H88" s="7" t="s">
        <v>50</v>
      </c>
      <c r="I88" s="7">
        <v>14</v>
      </c>
      <c r="J88" s="9">
        <v>202</v>
      </c>
      <c r="K88" s="10">
        <v>0.13930000000000001</v>
      </c>
      <c r="L88" s="9">
        <f t="shared" si="2"/>
        <v>2434.0596</v>
      </c>
      <c r="M88" s="9">
        <f>ROUND(L88*0.2227,2)</f>
        <v>542.07000000000005</v>
      </c>
      <c r="N88" s="9">
        <f t="shared" si="3"/>
        <v>1891.9895999999999</v>
      </c>
    </row>
    <row r="89" spans="1:14" x14ac:dyDescent="0.35">
      <c r="A89" s="7" t="s">
        <v>172</v>
      </c>
      <c r="B89" s="8">
        <v>45698</v>
      </c>
      <c r="C89" s="7" t="s">
        <v>52</v>
      </c>
      <c r="D89" s="7" t="s">
        <v>69</v>
      </c>
      <c r="E89" s="7" t="s">
        <v>132</v>
      </c>
      <c r="F89" s="7" t="s">
        <v>59</v>
      </c>
      <c r="G89" s="7" t="s">
        <v>49</v>
      </c>
      <c r="H89" s="7" t="s">
        <v>64</v>
      </c>
      <c r="I89" s="7">
        <v>4</v>
      </c>
      <c r="J89" s="9">
        <v>75.489999999999995</v>
      </c>
      <c r="K89" s="10">
        <v>8.3199999999999996E-2</v>
      </c>
      <c r="L89" s="9">
        <f t="shared" si="2"/>
        <v>276.836928</v>
      </c>
      <c r="M89" s="9">
        <f>ROUND(L89*0.2682,2)</f>
        <v>74.25</v>
      </c>
      <c r="N89" s="9">
        <f t="shared" si="3"/>
        <v>202.586928</v>
      </c>
    </row>
    <row r="90" spans="1:14" x14ac:dyDescent="0.35">
      <c r="A90" s="7" t="s">
        <v>173</v>
      </c>
      <c r="B90" s="8">
        <v>45699</v>
      </c>
      <c r="C90" s="7" t="s">
        <v>46</v>
      </c>
      <c r="D90" s="7" t="s">
        <v>53</v>
      </c>
      <c r="E90" s="7" t="s">
        <v>54</v>
      </c>
      <c r="F90" s="7" t="s">
        <v>48</v>
      </c>
      <c r="G90" s="7" t="s">
        <v>55</v>
      </c>
      <c r="H90" s="7" t="s">
        <v>74</v>
      </c>
      <c r="I90" s="7">
        <v>3</v>
      </c>
      <c r="J90" s="9">
        <v>1291.75</v>
      </c>
      <c r="K90" s="10">
        <v>1.1000000000000001E-3</v>
      </c>
      <c r="L90" s="9">
        <f t="shared" si="2"/>
        <v>3870.9872249999999</v>
      </c>
      <c r="M90" s="9">
        <f>ROUND(L90*0.6869,2)</f>
        <v>2658.98</v>
      </c>
      <c r="N90" s="9">
        <f t="shared" si="3"/>
        <v>1212.0072249999998</v>
      </c>
    </row>
    <row r="91" spans="1:14" x14ac:dyDescent="0.35">
      <c r="A91" s="7" t="s">
        <v>174</v>
      </c>
      <c r="B91" s="8">
        <v>45699</v>
      </c>
      <c r="C91" s="7" t="s">
        <v>46</v>
      </c>
      <c r="D91" s="7" t="s">
        <v>66</v>
      </c>
      <c r="E91" s="7" t="s">
        <v>77</v>
      </c>
      <c r="F91" s="7" t="s">
        <v>48</v>
      </c>
      <c r="G91" s="7" t="s">
        <v>55</v>
      </c>
      <c r="H91" s="7" t="s">
        <v>74</v>
      </c>
      <c r="I91" s="7">
        <v>3</v>
      </c>
      <c r="J91" s="9">
        <v>99.76</v>
      </c>
      <c r="K91" s="10">
        <v>4.8800000000000003E-2</v>
      </c>
      <c r="L91" s="9">
        <f t="shared" si="2"/>
        <v>284.67513600000007</v>
      </c>
      <c r="M91" s="9">
        <f>ROUND(L91*0.5593,2)</f>
        <v>159.22</v>
      </c>
      <c r="N91" s="9">
        <f t="shared" si="3"/>
        <v>125.45513600000007</v>
      </c>
    </row>
    <row r="92" spans="1:14" x14ac:dyDescent="0.35">
      <c r="A92" s="7" t="s">
        <v>175</v>
      </c>
      <c r="B92" s="8">
        <v>45699</v>
      </c>
      <c r="C92" s="7" t="s">
        <v>39</v>
      </c>
      <c r="D92" s="7" t="s">
        <v>66</v>
      </c>
      <c r="E92" s="7" t="s">
        <v>73</v>
      </c>
      <c r="F92" s="7" t="s">
        <v>59</v>
      </c>
      <c r="G92" s="7" t="s">
        <v>55</v>
      </c>
      <c r="H92" s="7" t="s">
        <v>108</v>
      </c>
      <c r="I92" s="7">
        <v>8</v>
      </c>
      <c r="J92" s="9">
        <v>39.93</v>
      </c>
      <c r="K92" s="10">
        <v>6.8699999999999997E-2</v>
      </c>
      <c r="L92" s="9">
        <f t="shared" si="2"/>
        <v>297.49447200000003</v>
      </c>
      <c r="M92" s="9">
        <f>ROUND(L92*0.6028,2)</f>
        <v>179.33</v>
      </c>
      <c r="N92" s="9">
        <f t="shared" si="3"/>
        <v>118.16447200000002</v>
      </c>
    </row>
    <row r="93" spans="1:14" x14ac:dyDescent="0.35">
      <c r="A93" s="7" t="s">
        <v>176</v>
      </c>
      <c r="B93" s="8">
        <v>45700</v>
      </c>
      <c r="C93" s="7" t="s">
        <v>52</v>
      </c>
      <c r="D93" s="7" t="s">
        <v>69</v>
      </c>
      <c r="E93" s="7" t="s">
        <v>132</v>
      </c>
      <c r="F93" s="7" t="s">
        <v>59</v>
      </c>
      <c r="G93" s="7" t="s">
        <v>43</v>
      </c>
      <c r="H93" s="7" t="s">
        <v>71</v>
      </c>
      <c r="I93" s="7">
        <v>10</v>
      </c>
      <c r="J93" s="9">
        <v>79.56</v>
      </c>
      <c r="K93" s="10">
        <v>9.1600000000000001E-2</v>
      </c>
      <c r="L93" s="9">
        <f t="shared" si="2"/>
        <v>722.72303999999997</v>
      </c>
      <c r="M93" s="9">
        <f>ROUND(L93*0.2331,2)</f>
        <v>168.47</v>
      </c>
      <c r="N93" s="9">
        <f t="shared" si="3"/>
        <v>554.25303999999994</v>
      </c>
    </row>
    <row r="94" spans="1:14" x14ac:dyDescent="0.35">
      <c r="A94" s="7" t="s">
        <v>177</v>
      </c>
      <c r="B94" s="8">
        <v>45700</v>
      </c>
      <c r="C94" s="7" t="s">
        <v>52</v>
      </c>
      <c r="D94" s="7" t="s">
        <v>53</v>
      </c>
      <c r="E94" s="7" t="s">
        <v>81</v>
      </c>
      <c r="F94" s="7" t="s">
        <v>59</v>
      </c>
      <c r="G94" s="7" t="s">
        <v>49</v>
      </c>
      <c r="H94" s="7" t="s">
        <v>83</v>
      </c>
      <c r="I94" s="7">
        <v>5</v>
      </c>
      <c r="J94" s="9">
        <v>1098.9000000000001</v>
      </c>
      <c r="K94" s="10">
        <v>0.128</v>
      </c>
      <c r="L94" s="9">
        <f t="shared" si="2"/>
        <v>4791.2039999999997</v>
      </c>
      <c r="M94" s="9">
        <f>ROUND(L94*0.73,2)</f>
        <v>3497.58</v>
      </c>
      <c r="N94" s="9">
        <f t="shared" si="3"/>
        <v>1293.6239999999998</v>
      </c>
    </row>
    <row r="95" spans="1:14" x14ac:dyDescent="0.35">
      <c r="A95" s="7" t="s">
        <v>178</v>
      </c>
      <c r="B95" s="8">
        <v>45700</v>
      </c>
      <c r="C95" s="7" t="s">
        <v>76</v>
      </c>
      <c r="D95" s="7" t="s">
        <v>53</v>
      </c>
      <c r="E95" s="7" t="s">
        <v>105</v>
      </c>
      <c r="F95" s="7" t="s">
        <v>48</v>
      </c>
      <c r="G95" s="7" t="s">
        <v>55</v>
      </c>
      <c r="H95" s="7" t="s">
        <v>78</v>
      </c>
      <c r="I95" s="7">
        <v>3</v>
      </c>
      <c r="J95" s="9">
        <v>455</v>
      </c>
      <c r="K95" s="10">
        <v>5.7299999999999997E-2</v>
      </c>
      <c r="L95" s="9">
        <f t="shared" si="2"/>
        <v>1286.7855</v>
      </c>
      <c r="M95" s="9">
        <f>ROUND(L95*0.7037,2)</f>
        <v>905.51</v>
      </c>
      <c r="N95" s="9">
        <f t="shared" si="3"/>
        <v>381.27549999999997</v>
      </c>
    </row>
    <row r="96" spans="1:14" x14ac:dyDescent="0.35">
      <c r="A96" s="7" t="s">
        <v>179</v>
      </c>
      <c r="B96" s="8">
        <v>45701</v>
      </c>
      <c r="C96" s="7" t="s">
        <v>46</v>
      </c>
      <c r="D96" s="7" t="s">
        <v>69</v>
      </c>
      <c r="E96" s="7" t="s">
        <v>107</v>
      </c>
      <c r="F96" s="7" t="s">
        <v>48</v>
      </c>
      <c r="G96" s="7" t="s">
        <v>55</v>
      </c>
      <c r="H96" s="7" t="s">
        <v>74</v>
      </c>
      <c r="I96" s="7">
        <v>2</v>
      </c>
      <c r="J96" s="9">
        <v>58.41</v>
      </c>
      <c r="K96" s="10">
        <v>6.5299999999999997E-2</v>
      </c>
      <c r="L96" s="9">
        <f t="shared" si="2"/>
        <v>109.19165399999999</v>
      </c>
      <c r="M96" s="9">
        <f>ROUND(L96*0.2654,2)</f>
        <v>28.98</v>
      </c>
      <c r="N96" s="9">
        <f t="shared" si="3"/>
        <v>80.211653999999982</v>
      </c>
    </row>
    <row r="97" spans="1:14" x14ac:dyDescent="0.35">
      <c r="A97" s="7" t="s">
        <v>180</v>
      </c>
      <c r="B97" s="8">
        <v>45701</v>
      </c>
      <c r="C97" s="7" t="s">
        <v>39</v>
      </c>
      <c r="D97" s="7" t="s">
        <v>40</v>
      </c>
      <c r="E97" s="7" t="s">
        <v>62</v>
      </c>
      <c r="F97" s="7" t="s">
        <v>42</v>
      </c>
      <c r="G97" s="7" t="s">
        <v>43</v>
      </c>
      <c r="H97" s="7" t="s">
        <v>44</v>
      </c>
      <c r="I97" s="7">
        <v>11</v>
      </c>
      <c r="J97" s="9">
        <v>190.15</v>
      </c>
      <c r="K97" s="10">
        <v>0.23080000000000001</v>
      </c>
      <c r="L97" s="9">
        <f t="shared" si="2"/>
        <v>1608.8971800000002</v>
      </c>
      <c r="M97" s="9">
        <f>ROUND(L97*0.6554,2)</f>
        <v>1054.47</v>
      </c>
      <c r="N97" s="9">
        <f t="shared" si="3"/>
        <v>554.42718000000013</v>
      </c>
    </row>
    <row r="98" spans="1:14" x14ac:dyDescent="0.35">
      <c r="A98" s="7" t="s">
        <v>181</v>
      </c>
      <c r="B98" s="8">
        <v>45701</v>
      </c>
      <c r="C98" s="7" t="s">
        <v>46</v>
      </c>
      <c r="D98" s="7" t="s">
        <v>66</v>
      </c>
      <c r="E98" s="7" t="s">
        <v>73</v>
      </c>
      <c r="F98" s="7" t="s">
        <v>42</v>
      </c>
      <c r="G98" s="7" t="s">
        <v>43</v>
      </c>
      <c r="H98" s="7" t="s">
        <v>50</v>
      </c>
      <c r="I98" s="7">
        <v>10</v>
      </c>
      <c r="J98" s="9">
        <v>39.409999999999997</v>
      </c>
      <c r="K98" s="10">
        <v>0.1893</v>
      </c>
      <c r="L98" s="9">
        <f t="shared" si="2"/>
        <v>319.49686999999994</v>
      </c>
      <c r="M98" s="9">
        <f>ROUND(L98*0.5862,2)</f>
        <v>187.29</v>
      </c>
      <c r="N98" s="9">
        <f t="shared" si="3"/>
        <v>132.20686999999995</v>
      </c>
    </row>
    <row r="99" spans="1:14" x14ac:dyDescent="0.35">
      <c r="A99" s="7" t="s">
        <v>182</v>
      </c>
      <c r="B99" s="8">
        <v>45702</v>
      </c>
      <c r="C99" s="7" t="s">
        <v>46</v>
      </c>
      <c r="D99" s="7" t="s">
        <v>66</v>
      </c>
      <c r="E99" s="7" t="s">
        <v>98</v>
      </c>
      <c r="F99" s="7" t="s">
        <v>59</v>
      </c>
      <c r="G99" s="7" t="s">
        <v>55</v>
      </c>
      <c r="H99" s="7" t="s">
        <v>74</v>
      </c>
      <c r="I99" s="7">
        <v>7</v>
      </c>
      <c r="J99" s="9">
        <v>29.52</v>
      </c>
      <c r="K99" s="10">
        <v>7.5200000000000003E-2</v>
      </c>
      <c r="L99" s="9">
        <f t="shared" si="2"/>
        <v>191.10067199999997</v>
      </c>
      <c r="M99" s="9">
        <f>ROUND(L99*0.5848,2)</f>
        <v>111.76</v>
      </c>
      <c r="N99" s="9">
        <f t="shared" si="3"/>
        <v>79.340671999999969</v>
      </c>
    </row>
    <row r="100" spans="1:14" x14ac:dyDescent="0.35">
      <c r="A100" s="7" t="s">
        <v>183</v>
      </c>
      <c r="B100" s="8">
        <v>45703</v>
      </c>
      <c r="C100" s="7" t="s">
        <v>52</v>
      </c>
      <c r="D100" s="7" t="s">
        <v>40</v>
      </c>
      <c r="E100" s="7" t="s">
        <v>62</v>
      </c>
      <c r="F100" s="7" t="s">
        <v>48</v>
      </c>
      <c r="G100" s="7" t="s">
        <v>49</v>
      </c>
      <c r="H100" s="7" t="s">
        <v>71</v>
      </c>
      <c r="I100" s="7">
        <v>1</v>
      </c>
      <c r="J100" s="9">
        <v>198.65</v>
      </c>
      <c r="K100" s="10">
        <v>8.3500000000000005E-2</v>
      </c>
      <c r="L100" s="9">
        <f t="shared" si="2"/>
        <v>182.062725</v>
      </c>
      <c r="M100" s="9">
        <f>ROUND(L100*0.6574,2)</f>
        <v>119.69</v>
      </c>
      <c r="N100" s="9">
        <f t="shared" si="3"/>
        <v>62.372725000000003</v>
      </c>
    </row>
    <row r="101" spans="1:14" x14ac:dyDescent="0.35">
      <c r="A101" s="7" t="s">
        <v>184</v>
      </c>
      <c r="B101" s="8">
        <v>45703</v>
      </c>
      <c r="C101" s="7" t="s">
        <v>76</v>
      </c>
      <c r="D101" s="7" t="s">
        <v>66</v>
      </c>
      <c r="E101" s="7" t="s">
        <v>77</v>
      </c>
      <c r="F101" s="7" t="s">
        <v>48</v>
      </c>
      <c r="G101" s="7" t="s">
        <v>55</v>
      </c>
      <c r="H101" s="7" t="s">
        <v>78</v>
      </c>
      <c r="I101" s="7">
        <v>1</v>
      </c>
      <c r="J101" s="9">
        <v>97.22</v>
      </c>
      <c r="K101" s="10">
        <v>6.8699999999999997E-2</v>
      </c>
      <c r="L101" s="9">
        <f t="shared" si="2"/>
        <v>90.540986000000004</v>
      </c>
      <c r="M101" s="9">
        <f>ROUND(L101*0.5829,2)</f>
        <v>52.78</v>
      </c>
      <c r="N101" s="9">
        <f t="shared" si="3"/>
        <v>37.760986000000003</v>
      </c>
    </row>
    <row r="102" spans="1:14" x14ac:dyDescent="0.35">
      <c r="A102" s="7" t="s">
        <v>185</v>
      </c>
      <c r="B102" s="8">
        <v>45703</v>
      </c>
      <c r="C102" s="7" t="s">
        <v>39</v>
      </c>
      <c r="D102" s="7" t="s">
        <v>66</v>
      </c>
      <c r="E102" s="7" t="s">
        <v>137</v>
      </c>
      <c r="F102" s="7" t="s">
        <v>42</v>
      </c>
      <c r="G102" s="7" t="s">
        <v>43</v>
      </c>
      <c r="H102" s="7" t="s">
        <v>44</v>
      </c>
      <c r="I102" s="7">
        <v>25</v>
      </c>
      <c r="J102" s="9">
        <v>154.77000000000001</v>
      </c>
      <c r="K102" s="10">
        <v>0.1227</v>
      </c>
      <c r="L102" s="9">
        <f t="shared" si="2"/>
        <v>3394.4930250000002</v>
      </c>
      <c r="M102" s="9">
        <f>ROUND(L102*0.5783,2)</f>
        <v>1963.04</v>
      </c>
      <c r="N102" s="9">
        <f t="shared" si="3"/>
        <v>1431.4530250000003</v>
      </c>
    </row>
    <row r="103" spans="1:14" x14ac:dyDescent="0.35">
      <c r="A103" s="7" t="s">
        <v>186</v>
      </c>
      <c r="B103" s="8">
        <v>45703</v>
      </c>
      <c r="C103" s="7" t="s">
        <v>76</v>
      </c>
      <c r="D103" s="7" t="s">
        <v>40</v>
      </c>
      <c r="E103" s="7" t="s">
        <v>139</v>
      </c>
      <c r="F103" s="7" t="s">
        <v>59</v>
      </c>
      <c r="G103" s="7" t="s">
        <v>49</v>
      </c>
      <c r="H103" s="7" t="s">
        <v>151</v>
      </c>
      <c r="I103" s="7">
        <v>7</v>
      </c>
      <c r="J103" s="9">
        <v>323.66000000000003</v>
      </c>
      <c r="K103" s="10">
        <v>0.14760000000000001</v>
      </c>
      <c r="L103" s="9">
        <f t="shared" si="2"/>
        <v>1931.2144880000003</v>
      </c>
      <c r="M103" s="9">
        <f>ROUND(L103*0.6365,2)</f>
        <v>1229.22</v>
      </c>
      <c r="N103" s="9">
        <f t="shared" si="3"/>
        <v>701.99448800000027</v>
      </c>
    </row>
    <row r="104" spans="1:14" x14ac:dyDescent="0.35">
      <c r="A104" s="7" t="s">
        <v>187</v>
      </c>
      <c r="B104" s="8">
        <v>45704</v>
      </c>
      <c r="C104" s="7" t="s">
        <v>46</v>
      </c>
      <c r="D104" s="7" t="s">
        <v>66</v>
      </c>
      <c r="E104" s="7" t="s">
        <v>67</v>
      </c>
      <c r="F104" s="7" t="s">
        <v>42</v>
      </c>
      <c r="G104" s="7" t="s">
        <v>43</v>
      </c>
      <c r="H104" s="7" t="s">
        <v>95</v>
      </c>
      <c r="I104" s="7">
        <v>14</v>
      </c>
      <c r="J104" s="9">
        <v>89.72</v>
      </c>
      <c r="K104" s="10">
        <v>0.22500000000000001</v>
      </c>
      <c r="L104" s="9">
        <f t="shared" si="2"/>
        <v>973.46199999999999</v>
      </c>
      <c r="M104" s="9">
        <f>ROUND(L104*0.5916,2)</f>
        <v>575.9</v>
      </c>
      <c r="N104" s="9">
        <f t="shared" si="3"/>
        <v>397.56200000000001</v>
      </c>
    </row>
    <row r="105" spans="1:14" x14ac:dyDescent="0.35">
      <c r="A105" s="7" t="s">
        <v>188</v>
      </c>
      <c r="B105" s="8">
        <v>45704</v>
      </c>
      <c r="C105" s="7" t="s">
        <v>46</v>
      </c>
      <c r="D105" s="7" t="s">
        <v>40</v>
      </c>
      <c r="E105" s="7" t="s">
        <v>47</v>
      </c>
      <c r="F105" s="7" t="s">
        <v>48</v>
      </c>
      <c r="G105" s="7" t="s">
        <v>55</v>
      </c>
      <c r="H105" s="7" t="s">
        <v>74</v>
      </c>
      <c r="I105" s="7">
        <v>3</v>
      </c>
      <c r="J105" s="9">
        <v>244.92</v>
      </c>
      <c r="K105" s="10">
        <v>4.7399999999999998E-2</v>
      </c>
      <c r="L105" s="9">
        <f t="shared" si="2"/>
        <v>699.93237599999998</v>
      </c>
      <c r="M105" s="9">
        <f>ROUND(L105*0.6495,2)</f>
        <v>454.61</v>
      </c>
      <c r="N105" s="9">
        <f t="shared" si="3"/>
        <v>245.32237599999996</v>
      </c>
    </row>
    <row r="106" spans="1:14" x14ac:dyDescent="0.35">
      <c r="A106" s="7" t="s">
        <v>189</v>
      </c>
      <c r="B106" s="8">
        <v>45705</v>
      </c>
      <c r="C106" s="7" t="s">
        <v>39</v>
      </c>
      <c r="D106" s="7" t="s">
        <v>53</v>
      </c>
      <c r="E106" s="7" t="s">
        <v>87</v>
      </c>
      <c r="F106" s="7" t="s">
        <v>48</v>
      </c>
      <c r="G106" s="7" t="s">
        <v>55</v>
      </c>
      <c r="H106" s="7" t="s">
        <v>108</v>
      </c>
      <c r="I106" s="7">
        <v>2</v>
      </c>
      <c r="J106" s="9">
        <v>893.7</v>
      </c>
      <c r="K106" s="10">
        <v>1E-3</v>
      </c>
      <c r="L106" s="9">
        <f t="shared" si="2"/>
        <v>1785.6126000000002</v>
      </c>
      <c r="M106" s="9">
        <f>ROUND(L106*0.7227,2)</f>
        <v>1290.46</v>
      </c>
      <c r="N106" s="9">
        <f t="shared" si="3"/>
        <v>495.15260000000012</v>
      </c>
    </row>
    <row r="107" spans="1:14" x14ac:dyDescent="0.35">
      <c r="A107" s="7" t="s">
        <v>190</v>
      </c>
      <c r="B107" s="8">
        <v>45706</v>
      </c>
      <c r="C107" s="7" t="s">
        <v>76</v>
      </c>
      <c r="D107" s="7" t="s">
        <v>69</v>
      </c>
      <c r="E107" s="7" t="s">
        <v>119</v>
      </c>
      <c r="F107" s="7" t="s">
        <v>48</v>
      </c>
      <c r="G107" s="7" t="s">
        <v>55</v>
      </c>
      <c r="H107" s="7" t="s">
        <v>78</v>
      </c>
      <c r="I107" s="7">
        <v>2</v>
      </c>
      <c r="J107" s="9">
        <v>205.52</v>
      </c>
      <c r="K107" s="10">
        <v>4.9500000000000002E-2</v>
      </c>
      <c r="L107" s="9">
        <f t="shared" si="2"/>
        <v>390.69352000000003</v>
      </c>
      <c r="M107" s="9">
        <f>ROUND(L107*0.2345,2)</f>
        <v>91.62</v>
      </c>
      <c r="N107" s="9">
        <f t="shared" si="3"/>
        <v>299.07352000000003</v>
      </c>
    </row>
    <row r="108" spans="1:14" x14ac:dyDescent="0.35">
      <c r="A108" s="7" t="s">
        <v>191</v>
      </c>
      <c r="B108" s="8">
        <v>45706</v>
      </c>
      <c r="C108" s="7" t="s">
        <v>46</v>
      </c>
      <c r="D108" s="7" t="s">
        <v>66</v>
      </c>
      <c r="E108" s="7" t="s">
        <v>137</v>
      </c>
      <c r="F108" s="7" t="s">
        <v>59</v>
      </c>
      <c r="G108" s="7" t="s">
        <v>49</v>
      </c>
      <c r="H108" s="7" t="s">
        <v>95</v>
      </c>
      <c r="I108" s="7">
        <v>3</v>
      </c>
      <c r="J108" s="9">
        <v>160.01</v>
      </c>
      <c r="K108" s="10">
        <v>0.13669999999999999</v>
      </c>
      <c r="L108" s="9">
        <f t="shared" si="2"/>
        <v>414.40989899999994</v>
      </c>
      <c r="M108" s="9">
        <f>ROUND(L108*0.5711,2)</f>
        <v>236.67</v>
      </c>
      <c r="N108" s="9">
        <f t="shared" si="3"/>
        <v>177.73989899999995</v>
      </c>
    </row>
    <row r="109" spans="1:14" x14ac:dyDescent="0.35">
      <c r="A109" s="7" t="s">
        <v>192</v>
      </c>
      <c r="B109" s="8">
        <v>45707</v>
      </c>
      <c r="C109" s="7" t="s">
        <v>39</v>
      </c>
      <c r="D109" s="7" t="s">
        <v>40</v>
      </c>
      <c r="E109" s="7" t="s">
        <v>91</v>
      </c>
      <c r="F109" s="7" t="s">
        <v>48</v>
      </c>
      <c r="G109" s="7" t="s">
        <v>55</v>
      </c>
      <c r="H109" s="7" t="s">
        <v>108</v>
      </c>
      <c r="I109" s="7">
        <v>2</v>
      </c>
      <c r="J109" s="9">
        <v>129.27000000000001</v>
      </c>
      <c r="K109" s="10">
        <v>3.5099999999999999E-2</v>
      </c>
      <c r="L109" s="9">
        <f t="shared" si="2"/>
        <v>249.46524600000001</v>
      </c>
      <c r="M109" s="9">
        <f>ROUND(L109*0.6386,2)</f>
        <v>159.31</v>
      </c>
      <c r="N109" s="9">
        <f t="shared" si="3"/>
        <v>90.155246000000005</v>
      </c>
    </row>
    <row r="110" spans="1:14" x14ac:dyDescent="0.35">
      <c r="A110" s="7" t="s">
        <v>193</v>
      </c>
      <c r="B110" s="8">
        <v>45707</v>
      </c>
      <c r="C110" s="7" t="s">
        <v>46</v>
      </c>
      <c r="D110" s="7" t="s">
        <v>69</v>
      </c>
      <c r="E110" s="7" t="s">
        <v>70</v>
      </c>
      <c r="F110" s="7" t="s">
        <v>48</v>
      </c>
      <c r="G110" s="7" t="s">
        <v>55</v>
      </c>
      <c r="H110" s="7" t="s">
        <v>74</v>
      </c>
      <c r="I110" s="7">
        <v>3</v>
      </c>
      <c r="J110" s="9">
        <v>146.97999999999999</v>
      </c>
      <c r="K110" s="10">
        <v>6.4000000000000003E-3</v>
      </c>
      <c r="L110" s="9">
        <f t="shared" si="2"/>
        <v>438.11798399999998</v>
      </c>
      <c r="M110" s="9">
        <f>ROUND(L110*0.2263,2)</f>
        <v>99.15</v>
      </c>
      <c r="N110" s="9">
        <f t="shared" si="3"/>
        <v>338.967984</v>
      </c>
    </row>
    <row r="111" spans="1:14" x14ac:dyDescent="0.35">
      <c r="A111" s="7" t="s">
        <v>194</v>
      </c>
      <c r="B111" s="8">
        <v>45707</v>
      </c>
      <c r="C111" s="7" t="s">
        <v>46</v>
      </c>
      <c r="D111" s="7" t="s">
        <v>69</v>
      </c>
      <c r="E111" s="7" t="s">
        <v>70</v>
      </c>
      <c r="F111" s="7" t="s">
        <v>42</v>
      </c>
      <c r="G111" s="7" t="s">
        <v>43</v>
      </c>
      <c r="H111" s="7" t="s">
        <v>50</v>
      </c>
      <c r="I111" s="7">
        <v>20</v>
      </c>
      <c r="J111" s="9">
        <v>143.63999999999999</v>
      </c>
      <c r="K111" s="10">
        <v>0.1855</v>
      </c>
      <c r="L111" s="9">
        <f t="shared" si="2"/>
        <v>2339.8955999999998</v>
      </c>
      <c r="M111" s="9">
        <f>ROUND(L111*0.2281,2)</f>
        <v>533.73</v>
      </c>
      <c r="N111" s="9">
        <f t="shared" si="3"/>
        <v>1806.1655999999998</v>
      </c>
    </row>
    <row r="112" spans="1:14" x14ac:dyDescent="0.35">
      <c r="A112" s="7" t="s">
        <v>195</v>
      </c>
      <c r="B112" s="8">
        <v>45707</v>
      </c>
      <c r="C112" s="7" t="s">
        <v>39</v>
      </c>
      <c r="D112" s="7" t="s">
        <v>69</v>
      </c>
      <c r="E112" s="7" t="s">
        <v>70</v>
      </c>
      <c r="F112" s="7" t="s">
        <v>48</v>
      </c>
      <c r="G112" s="7" t="s">
        <v>49</v>
      </c>
      <c r="H112" s="7" t="s">
        <v>44</v>
      </c>
      <c r="I112" s="7">
        <v>3</v>
      </c>
      <c r="J112" s="9">
        <v>141.53</v>
      </c>
      <c r="K112" s="10">
        <v>4.7100000000000003E-2</v>
      </c>
      <c r="L112" s="9">
        <f t="shared" si="2"/>
        <v>404.59181100000001</v>
      </c>
      <c r="M112" s="9">
        <f>ROUND(L112*0.2186,2)</f>
        <v>88.44</v>
      </c>
      <c r="N112" s="9">
        <f t="shared" si="3"/>
        <v>316.15181100000001</v>
      </c>
    </row>
    <row r="113" spans="1:14" x14ac:dyDescent="0.35">
      <c r="A113" s="7" t="s">
        <v>196</v>
      </c>
      <c r="B113" s="8">
        <v>45707</v>
      </c>
      <c r="C113" s="7" t="s">
        <v>46</v>
      </c>
      <c r="D113" s="7" t="s">
        <v>69</v>
      </c>
      <c r="E113" s="7" t="s">
        <v>70</v>
      </c>
      <c r="F113" s="7" t="s">
        <v>48</v>
      </c>
      <c r="G113" s="7" t="s">
        <v>49</v>
      </c>
      <c r="H113" s="7" t="s">
        <v>50</v>
      </c>
      <c r="I113" s="7">
        <v>3</v>
      </c>
      <c r="J113" s="9">
        <v>143</v>
      </c>
      <c r="K113" s="10">
        <v>3.6999999999999998E-2</v>
      </c>
      <c r="L113" s="9">
        <f t="shared" si="2"/>
        <v>413.12700000000001</v>
      </c>
      <c r="M113" s="9">
        <f>ROUND(L113*0.2444,2)</f>
        <v>100.97</v>
      </c>
      <c r="N113" s="9">
        <f t="shared" si="3"/>
        <v>312.15700000000004</v>
      </c>
    </row>
    <row r="114" spans="1:14" x14ac:dyDescent="0.35">
      <c r="A114" s="7" t="s">
        <v>197</v>
      </c>
      <c r="B114" s="8">
        <v>45707</v>
      </c>
      <c r="C114" s="7" t="s">
        <v>52</v>
      </c>
      <c r="D114" s="7" t="s">
        <v>66</v>
      </c>
      <c r="E114" s="7" t="s">
        <v>73</v>
      </c>
      <c r="F114" s="7" t="s">
        <v>48</v>
      </c>
      <c r="G114" s="7" t="s">
        <v>55</v>
      </c>
      <c r="H114" s="7" t="s">
        <v>56</v>
      </c>
      <c r="I114" s="7">
        <v>3</v>
      </c>
      <c r="J114" s="9">
        <v>40.28</v>
      </c>
      <c r="K114" s="10">
        <v>5.4199999999999998E-2</v>
      </c>
      <c r="L114" s="9">
        <f t="shared" si="2"/>
        <v>114.29047199999999</v>
      </c>
      <c r="M114" s="9">
        <f>ROUND(L114*0.5586,2)</f>
        <v>63.84</v>
      </c>
      <c r="N114" s="9">
        <f t="shared" si="3"/>
        <v>50.450471999999991</v>
      </c>
    </row>
    <row r="115" spans="1:14" x14ac:dyDescent="0.35">
      <c r="A115" s="7" t="s">
        <v>198</v>
      </c>
      <c r="B115" s="8">
        <v>45708</v>
      </c>
      <c r="C115" s="7" t="s">
        <v>39</v>
      </c>
      <c r="D115" s="7" t="s">
        <v>69</v>
      </c>
      <c r="E115" s="7" t="s">
        <v>113</v>
      </c>
      <c r="F115" s="7" t="s">
        <v>42</v>
      </c>
      <c r="G115" s="7" t="s">
        <v>55</v>
      </c>
      <c r="H115" s="7" t="s">
        <v>108</v>
      </c>
      <c r="I115" s="7">
        <v>21</v>
      </c>
      <c r="J115" s="9">
        <v>247.87</v>
      </c>
      <c r="K115" s="10">
        <v>0.1019</v>
      </c>
      <c r="L115" s="9">
        <f t="shared" si="2"/>
        <v>4674.8529870000002</v>
      </c>
      <c r="M115" s="9">
        <f>ROUND(L115*0.2613,2)</f>
        <v>1221.54</v>
      </c>
      <c r="N115" s="9">
        <f t="shared" si="3"/>
        <v>3453.3129870000002</v>
      </c>
    </row>
    <row r="116" spans="1:14" x14ac:dyDescent="0.35">
      <c r="A116" s="7" t="s">
        <v>199</v>
      </c>
      <c r="B116" s="8">
        <v>45708</v>
      </c>
      <c r="C116" s="7" t="s">
        <v>52</v>
      </c>
      <c r="D116" s="7" t="s">
        <v>53</v>
      </c>
      <c r="E116" s="7" t="s">
        <v>58</v>
      </c>
      <c r="F116" s="7" t="s">
        <v>48</v>
      </c>
      <c r="G116" s="7" t="s">
        <v>55</v>
      </c>
      <c r="H116" s="7" t="s">
        <v>56</v>
      </c>
      <c r="I116" s="7">
        <v>1</v>
      </c>
      <c r="J116" s="9">
        <v>713.77</v>
      </c>
      <c r="K116" s="10">
        <v>3.0300000000000001E-2</v>
      </c>
      <c r="L116" s="9">
        <f t="shared" si="2"/>
        <v>692.14276899999993</v>
      </c>
      <c r="M116" s="9">
        <f>ROUND(L116*0.6872,2)</f>
        <v>475.64</v>
      </c>
      <c r="N116" s="9">
        <f t="shared" si="3"/>
        <v>216.50276899999994</v>
      </c>
    </row>
    <row r="117" spans="1:14" x14ac:dyDescent="0.35">
      <c r="A117" s="7" t="s">
        <v>200</v>
      </c>
      <c r="B117" s="8">
        <v>45709</v>
      </c>
      <c r="C117" s="7" t="s">
        <v>52</v>
      </c>
      <c r="D117" s="7" t="s">
        <v>53</v>
      </c>
      <c r="E117" s="7" t="s">
        <v>54</v>
      </c>
      <c r="F117" s="7" t="s">
        <v>59</v>
      </c>
      <c r="G117" s="7" t="s">
        <v>49</v>
      </c>
      <c r="H117" s="7" t="s">
        <v>64</v>
      </c>
      <c r="I117" s="7">
        <v>10</v>
      </c>
      <c r="J117" s="9">
        <v>1299.1500000000001</v>
      </c>
      <c r="K117" s="10">
        <v>0.1096</v>
      </c>
      <c r="L117" s="9">
        <f t="shared" si="2"/>
        <v>11567.631599999999</v>
      </c>
      <c r="M117" s="9">
        <f>ROUND(L117*0.7296,2)</f>
        <v>8439.74</v>
      </c>
      <c r="N117" s="9">
        <f t="shared" si="3"/>
        <v>3127.891599999999</v>
      </c>
    </row>
    <row r="118" spans="1:14" x14ac:dyDescent="0.35">
      <c r="A118" s="7" t="s">
        <v>201</v>
      </c>
      <c r="B118" s="8">
        <v>45709</v>
      </c>
      <c r="C118" s="7" t="s">
        <v>76</v>
      </c>
      <c r="D118" s="7" t="s">
        <v>53</v>
      </c>
      <c r="E118" s="7" t="s">
        <v>87</v>
      </c>
      <c r="F118" s="7" t="s">
        <v>59</v>
      </c>
      <c r="G118" s="7" t="s">
        <v>55</v>
      </c>
      <c r="H118" s="7" t="s">
        <v>78</v>
      </c>
      <c r="I118" s="7">
        <v>10</v>
      </c>
      <c r="J118" s="9">
        <v>894.37</v>
      </c>
      <c r="K118" s="10">
        <v>6.4199999999999993E-2</v>
      </c>
      <c r="L118" s="9">
        <f t="shared" si="2"/>
        <v>8369.5144600000003</v>
      </c>
      <c r="M118" s="9">
        <f>ROUND(L118*0.6961,2)</f>
        <v>5826.02</v>
      </c>
      <c r="N118" s="9">
        <f t="shared" si="3"/>
        <v>2543.4944599999999</v>
      </c>
    </row>
    <row r="119" spans="1:14" x14ac:dyDescent="0.35">
      <c r="A119" s="7" t="s">
        <v>202</v>
      </c>
      <c r="B119" s="8">
        <v>45709</v>
      </c>
      <c r="C119" s="7" t="s">
        <v>39</v>
      </c>
      <c r="D119" s="7" t="s">
        <v>66</v>
      </c>
      <c r="E119" s="7" t="s">
        <v>73</v>
      </c>
      <c r="F119" s="7" t="s">
        <v>48</v>
      </c>
      <c r="G119" s="7" t="s">
        <v>49</v>
      </c>
      <c r="H119" s="7" t="s">
        <v>60</v>
      </c>
      <c r="I119" s="7">
        <v>2</v>
      </c>
      <c r="J119" s="9">
        <v>36.6</v>
      </c>
      <c r="K119" s="10">
        <v>1.47E-2</v>
      </c>
      <c r="L119" s="9">
        <f t="shared" si="2"/>
        <v>72.123959999999997</v>
      </c>
      <c r="M119" s="9">
        <f>ROUND(L119*0.6048,2)</f>
        <v>43.62</v>
      </c>
      <c r="N119" s="9">
        <f t="shared" si="3"/>
        <v>28.503959999999999</v>
      </c>
    </row>
    <row r="120" spans="1:14" x14ac:dyDescent="0.35">
      <c r="A120" s="7" t="s">
        <v>203</v>
      </c>
      <c r="B120" s="8">
        <v>45709</v>
      </c>
      <c r="C120" s="7" t="s">
        <v>39</v>
      </c>
      <c r="D120" s="7" t="s">
        <v>53</v>
      </c>
      <c r="E120" s="7" t="s">
        <v>105</v>
      </c>
      <c r="F120" s="7" t="s">
        <v>59</v>
      </c>
      <c r="G120" s="7" t="s">
        <v>49</v>
      </c>
      <c r="H120" s="7" t="s">
        <v>60</v>
      </c>
      <c r="I120" s="7">
        <v>6</v>
      </c>
      <c r="J120" s="9">
        <v>440.67</v>
      </c>
      <c r="K120" s="10">
        <v>7.8899999999999998E-2</v>
      </c>
      <c r="L120" s="9">
        <f t="shared" si="2"/>
        <v>2435.4068219999999</v>
      </c>
      <c r="M120" s="9">
        <f>ROUND(L120*0.7296,2)</f>
        <v>1776.87</v>
      </c>
      <c r="N120" s="9">
        <f t="shared" si="3"/>
        <v>658.53682200000003</v>
      </c>
    </row>
    <row r="121" spans="1:14" x14ac:dyDescent="0.35">
      <c r="A121" s="7" t="s">
        <v>204</v>
      </c>
      <c r="B121" s="8">
        <v>45709</v>
      </c>
      <c r="C121" s="7" t="s">
        <v>46</v>
      </c>
      <c r="D121" s="7" t="s">
        <v>40</v>
      </c>
      <c r="E121" s="7" t="s">
        <v>91</v>
      </c>
      <c r="F121" s="7" t="s">
        <v>48</v>
      </c>
      <c r="G121" s="7" t="s">
        <v>55</v>
      </c>
      <c r="H121" s="7" t="s">
        <v>74</v>
      </c>
      <c r="I121" s="7">
        <v>2</v>
      </c>
      <c r="J121" s="9">
        <v>128.36000000000001</v>
      </c>
      <c r="K121" s="10">
        <v>2.2599999999999999E-2</v>
      </c>
      <c r="L121" s="9">
        <f t="shared" si="2"/>
        <v>250.91812800000005</v>
      </c>
      <c r="M121" s="9">
        <f>ROUND(L121*0.6173,2)</f>
        <v>154.88999999999999</v>
      </c>
      <c r="N121" s="9">
        <f t="shared" si="3"/>
        <v>96.028128000000066</v>
      </c>
    </row>
    <row r="122" spans="1:14" x14ac:dyDescent="0.35">
      <c r="A122" s="7" t="s">
        <v>205</v>
      </c>
      <c r="B122" s="8">
        <v>45709</v>
      </c>
      <c r="C122" s="7" t="s">
        <v>39</v>
      </c>
      <c r="D122" s="7" t="s">
        <v>69</v>
      </c>
      <c r="E122" s="7" t="s">
        <v>113</v>
      </c>
      <c r="F122" s="7" t="s">
        <v>48</v>
      </c>
      <c r="G122" s="7" t="s">
        <v>49</v>
      </c>
      <c r="H122" s="7" t="s">
        <v>60</v>
      </c>
      <c r="I122" s="7">
        <v>1</v>
      </c>
      <c r="J122" s="9">
        <v>246.56</v>
      </c>
      <c r="K122" s="10">
        <v>5.7599999999999998E-2</v>
      </c>
      <c r="L122" s="9">
        <f t="shared" si="2"/>
        <v>232.35814400000001</v>
      </c>
      <c r="M122" s="9">
        <f>ROUND(L122*0.216,2)</f>
        <v>50.19</v>
      </c>
      <c r="N122" s="9">
        <f t="shared" si="3"/>
        <v>182.16814400000001</v>
      </c>
    </row>
    <row r="123" spans="1:14" x14ac:dyDescent="0.35">
      <c r="A123" s="7" t="s">
        <v>206</v>
      </c>
      <c r="B123" s="8">
        <v>45710</v>
      </c>
      <c r="C123" s="7" t="s">
        <v>76</v>
      </c>
      <c r="D123" s="7" t="s">
        <v>40</v>
      </c>
      <c r="E123" s="7" t="s">
        <v>91</v>
      </c>
      <c r="F123" s="7" t="s">
        <v>48</v>
      </c>
      <c r="G123" s="7" t="s">
        <v>55</v>
      </c>
      <c r="H123" s="7" t="s">
        <v>78</v>
      </c>
      <c r="I123" s="7">
        <v>1</v>
      </c>
      <c r="J123" s="9">
        <v>131.54</v>
      </c>
      <c r="K123" s="10">
        <v>4.5900000000000003E-2</v>
      </c>
      <c r="L123" s="9">
        <f t="shared" si="2"/>
        <v>125.50231399999998</v>
      </c>
      <c r="M123" s="9">
        <f>ROUND(L123*0.6352,2)</f>
        <v>79.72</v>
      </c>
      <c r="N123" s="9">
        <f t="shared" si="3"/>
        <v>45.782313999999985</v>
      </c>
    </row>
    <row r="124" spans="1:14" x14ac:dyDescent="0.35">
      <c r="A124" s="7" t="s">
        <v>207</v>
      </c>
      <c r="B124" s="8">
        <v>45710</v>
      </c>
      <c r="C124" s="7" t="s">
        <v>76</v>
      </c>
      <c r="D124" s="7" t="s">
        <v>69</v>
      </c>
      <c r="E124" s="7" t="s">
        <v>113</v>
      </c>
      <c r="F124" s="7" t="s">
        <v>48</v>
      </c>
      <c r="G124" s="7" t="s">
        <v>55</v>
      </c>
      <c r="H124" s="7" t="s">
        <v>78</v>
      </c>
      <c r="I124" s="7">
        <v>1</v>
      </c>
      <c r="J124" s="9">
        <v>247.18</v>
      </c>
      <c r="K124" s="10">
        <v>5.8799999999999998E-2</v>
      </c>
      <c r="L124" s="9">
        <f t="shared" si="2"/>
        <v>232.64581600000002</v>
      </c>
      <c r="M124" s="9">
        <f>ROUND(L124*0.2382,2)</f>
        <v>55.42</v>
      </c>
      <c r="N124" s="9">
        <f t="shared" si="3"/>
        <v>177.22581600000001</v>
      </c>
    </row>
    <row r="125" spans="1:14" x14ac:dyDescent="0.35">
      <c r="A125" s="7" t="s">
        <v>208</v>
      </c>
      <c r="B125" s="8">
        <v>45710</v>
      </c>
      <c r="C125" s="7" t="s">
        <v>76</v>
      </c>
      <c r="D125" s="7" t="s">
        <v>40</v>
      </c>
      <c r="E125" s="7" t="s">
        <v>62</v>
      </c>
      <c r="F125" s="7" t="s">
        <v>48</v>
      </c>
      <c r="G125" s="7" t="s">
        <v>49</v>
      </c>
      <c r="H125" s="7" t="s">
        <v>151</v>
      </c>
      <c r="I125" s="7">
        <v>3</v>
      </c>
      <c r="J125" s="9">
        <v>197.09</v>
      </c>
      <c r="K125" s="10">
        <v>6.6000000000000003E-2</v>
      </c>
      <c r="L125" s="9">
        <f t="shared" si="2"/>
        <v>552.24617999999998</v>
      </c>
      <c r="M125" s="9">
        <f>ROUND(L125*0.666,2)</f>
        <v>367.8</v>
      </c>
      <c r="N125" s="9">
        <f t="shared" si="3"/>
        <v>184.44617999999997</v>
      </c>
    </row>
    <row r="126" spans="1:14" x14ac:dyDescent="0.35">
      <c r="A126" s="7" t="s">
        <v>209</v>
      </c>
      <c r="B126" s="8">
        <v>45710</v>
      </c>
      <c r="C126" s="7" t="s">
        <v>39</v>
      </c>
      <c r="D126" s="7" t="s">
        <v>69</v>
      </c>
      <c r="E126" s="7" t="s">
        <v>107</v>
      </c>
      <c r="F126" s="7" t="s">
        <v>59</v>
      </c>
      <c r="G126" s="7" t="s">
        <v>43</v>
      </c>
      <c r="H126" s="7" t="s">
        <v>44</v>
      </c>
      <c r="I126" s="7">
        <v>8</v>
      </c>
      <c r="J126" s="9">
        <v>57.13</v>
      </c>
      <c r="K126" s="10">
        <v>0.12720000000000001</v>
      </c>
      <c r="L126" s="9">
        <f t="shared" si="2"/>
        <v>398.90451200000001</v>
      </c>
      <c r="M126" s="9">
        <f>ROUND(L126*0.2186,2)</f>
        <v>87.2</v>
      </c>
      <c r="N126" s="9">
        <f t="shared" si="3"/>
        <v>311.70451200000002</v>
      </c>
    </row>
    <row r="127" spans="1:14" x14ac:dyDescent="0.35">
      <c r="A127" s="7" t="s">
        <v>210</v>
      </c>
      <c r="B127" s="8">
        <v>45711</v>
      </c>
      <c r="C127" s="7" t="s">
        <v>76</v>
      </c>
      <c r="D127" s="7" t="s">
        <v>66</v>
      </c>
      <c r="E127" s="7" t="s">
        <v>137</v>
      </c>
      <c r="F127" s="7" t="s">
        <v>42</v>
      </c>
      <c r="G127" s="7" t="s">
        <v>43</v>
      </c>
      <c r="H127" s="7" t="s">
        <v>110</v>
      </c>
      <c r="I127" s="7">
        <v>23</v>
      </c>
      <c r="J127" s="9">
        <v>158.56</v>
      </c>
      <c r="K127" s="10">
        <v>0.19689999999999999</v>
      </c>
      <c r="L127" s="9">
        <f t="shared" si="2"/>
        <v>2928.8093280000003</v>
      </c>
      <c r="M127" s="9">
        <f>ROUND(L127*0.5955,2)</f>
        <v>1744.11</v>
      </c>
      <c r="N127" s="9">
        <f t="shared" si="3"/>
        <v>1184.6993280000004</v>
      </c>
    </row>
    <row r="128" spans="1:14" x14ac:dyDescent="0.35">
      <c r="A128" s="7" t="s">
        <v>211</v>
      </c>
      <c r="B128" s="8">
        <v>45711</v>
      </c>
      <c r="C128" s="7" t="s">
        <v>46</v>
      </c>
      <c r="D128" s="7" t="s">
        <v>40</v>
      </c>
      <c r="E128" s="7" t="s">
        <v>41</v>
      </c>
      <c r="F128" s="7" t="s">
        <v>59</v>
      </c>
      <c r="G128" s="7" t="s">
        <v>49</v>
      </c>
      <c r="H128" s="7" t="s">
        <v>50</v>
      </c>
      <c r="I128" s="7">
        <v>7</v>
      </c>
      <c r="J128" s="9">
        <v>378.41</v>
      </c>
      <c r="K128" s="10">
        <v>0.1323</v>
      </c>
      <c r="L128" s="9">
        <f t="shared" si="2"/>
        <v>2298.4244990000002</v>
      </c>
      <c r="M128" s="9">
        <f>ROUND(L128*0.6284,2)</f>
        <v>1444.33</v>
      </c>
      <c r="N128" s="9">
        <f t="shared" si="3"/>
        <v>854.09449900000027</v>
      </c>
    </row>
    <row r="129" spans="1:14" x14ac:dyDescent="0.35">
      <c r="A129" s="7" t="s">
        <v>212</v>
      </c>
      <c r="B129" s="8">
        <v>45711</v>
      </c>
      <c r="C129" s="7" t="s">
        <v>52</v>
      </c>
      <c r="D129" s="7" t="s">
        <v>53</v>
      </c>
      <c r="E129" s="7" t="s">
        <v>81</v>
      </c>
      <c r="F129" s="7" t="s">
        <v>48</v>
      </c>
      <c r="G129" s="7" t="s">
        <v>49</v>
      </c>
      <c r="H129" s="7" t="s">
        <v>71</v>
      </c>
      <c r="I129" s="7">
        <v>3</v>
      </c>
      <c r="J129" s="9">
        <v>1103.9000000000001</v>
      </c>
      <c r="K129" s="10">
        <v>4.4600000000000001E-2</v>
      </c>
      <c r="L129" s="9">
        <f t="shared" si="2"/>
        <v>3163.9981800000005</v>
      </c>
      <c r="M129" s="9">
        <f>ROUND(L129*0.7252,2)</f>
        <v>2294.5300000000002</v>
      </c>
      <c r="N129" s="9">
        <f t="shared" si="3"/>
        <v>869.4681800000003</v>
      </c>
    </row>
    <row r="130" spans="1:14" x14ac:dyDescent="0.35">
      <c r="A130" s="7" t="s">
        <v>213</v>
      </c>
      <c r="B130" s="8">
        <v>45712</v>
      </c>
      <c r="C130" s="7" t="s">
        <v>52</v>
      </c>
      <c r="D130" s="7" t="s">
        <v>40</v>
      </c>
      <c r="E130" s="7" t="s">
        <v>62</v>
      </c>
      <c r="F130" s="7" t="s">
        <v>48</v>
      </c>
      <c r="G130" s="7" t="s">
        <v>55</v>
      </c>
      <c r="H130" s="7" t="s">
        <v>56</v>
      </c>
      <c r="I130" s="7">
        <v>2</v>
      </c>
      <c r="J130" s="9">
        <v>199.49</v>
      </c>
      <c r="K130" s="10">
        <v>3.2899999999999999E-2</v>
      </c>
      <c r="L130" s="9">
        <f t="shared" ref="L130:L193" si="4">I130*J130*(1-K130)</f>
        <v>385.85355800000002</v>
      </c>
      <c r="M130" s="9">
        <f>ROUND(L130*0.6598,2)</f>
        <v>254.59</v>
      </c>
      <c r="N130" s="9">
        <f t="shared" ref="N130:N193" si="5">L130-M130</f>
        <v>131.26355800000002</v>
      </c>
    </row>
    <row r="131" spans="1:14" x14ac:dyDescent="0.35">
      <c r="A131" s="7" t="s">
        <v>214</v>
      </c>
      <c r="B131" s="8">
        <v>45713</v>
      </c>
      <c r="C131" s="7" t="s">
        <v>46</v>
      </c>
      <c r="D131" s="7" t="s">
        <v>66</v>
      </c>
      <c r="E131" s="7" t="s">
        <v>73</v>
      </c>
      <c r="F131" s="7" t="s">
        <v>48</v>
      </c>
      <c r="G131" s="7" t="s">
        <v>55</v>
      </c>
      <c r="H131" s="7" t="s">
        <v>74</v>
      </c>
      <c r="I131" s="7">
        <v>3</v>
      </c>
      <c r="J131" s="9">
        <v>37.58</v>
      </c>
      <c r="K131" s="10">
        <v>6.2799999999999995E-2</v>
      </c>
      <c r="L131" s="9">
        <f t="shared" si="4"/>
        <v>105.65992799999999</v>
      </c>
      <c r="M131" s="9">
        <f>ROUND(L131*0.602,2)</f>
        <v>63.61</v>
      </c>
      <c r="N131" s="9">
        <f t="shared" si="5"/>
        <v>42.049927999999994</v>
      </c>
    </row>
    <row r="132" spans="1:14" x14ac:dyDescent="0.35">
      <c r="A132" s="7" t="s">
        <v>215</v>
      </c>
      <c r="B132" s="8">
        <v>45713</v>
      </c>
      <c r="C132" s="7" t="s">
        <v>52</v>
      </c>
      <c r="D132" s="7" t="s">
        <v>40</v>
      </c>
      <c r="E132" s="7" t="s">
        <v>47</v>
      </c>
      <c r="F132" s="7" t="s">
        <v>42</v>
      </c>
      <c r="G132" s="7" t="s">
        <v>43</v>
      </c>
      <c r="H132" s="7" t="s">
        <v>83</v>
      </c>
      <c r="I132" s="7">
        <v>31</v>
      </c>
      <c r="J132" s="9">
        <v>236.02</v>
      </c>
      <c r="K132" s="10">
        <v>0.154</v>
      </c>
      <c r="L132" s="9">
        <f t="shared" si="4"/>
        <v>6189.8605199999993</v>
      </c>
      <c r="M132" s="9">
        <f>ROUND(L132*0.6259,2)</f>
        <v>3874.23</v>
      </c>
      <c r="N132" s="9">
        <f t="shared" si="5"/>
        <v>2315.6305199999993</v>
      </c>
    </row>
    <row r="133" spans="1:14" x14ac:dyDescent="0.35">
      <c r="A133" s="7" t="s">
        <v>216</v>
      </c>
      <c r="B133" s="8">
        <v>45713</v>
      </c>
      <c r="C133" s="7" t="s">
        <v>46</v>
      </c>
      <c r="D133" s="7" t="s">
        <v>40</v>
      </c>
      <c r="E133" s="7" t="s">
        <v>41</v>
      </c>
      <c r="F133" s="7" t="s">
        <v>59</v>
      </c>
      <c r="G133" s="7" t="s">
        <v>49</v>
      </c>
      <c r="H133" s="7" t="s">
        <v>95</v>
      </c>
      <c r="I133" s="7">
        <v>10</v>
      </c>
      <c r="J133" s="9">
        <v>384.37</v>
      </c>
      <c r="K133" s="10">
        <v>6.8900000000000003E-2</v>
      </c>
      <c r="L133" s="9">
        <f t="shared" si="4"/>
        <v>3578.8690700000002</v>
      </c>
      <c r="M133" s="9">
        <f>ROUND(L133*0.6407,2)</f>
        <v>2292.98</v>
      </c>
      <c r="N133" s="9">
        <f t="shared" si="5"/>
        <v>1285.8890700000002</v>
      </c>
    </row>
    <row r="134" spans="1:14" x14ac:dyDescent="0.35">
      <c r="A134" s="7" t="s">
        <v>217</v>
      </c>
      <c r="B134" s="8">
        <v>45714</v>
      </c>
      <c r="C134" s="7" t="s">
        <v>52</v>
      </c>
      <c r="D134" s="7" t="s">
        <v>69</v>
      </c>
      <c r="E134" s="7" t="s">
        <v>70</v>
      </c>
      <c r="F134" s="7" t="s">
        <v>42</v>
      </c>
      <c r="G134" s="7" t="s">
        <v>55</v>
      </c>
      <c r="H134" s="7" t="s">
        <v>56</v>
      </c>
      <c r="I134" s="7">
        <v>17</v>
      </c>
      <c r="J134" s="9">
        <v>148.94</v>
      </c>
      <c r="K134" s="10">
        <v>7.8100000000000003E-2</v>
      </c>
      <c r="L134" s="9">
        <f t="shared" si="4"/>
        <v>2334.2323619999997</v>
      </c>
      <c r="M134" s="9">
        <f>ROUND(L134*0.2401,2)</f>
        <v>560.45000000000005</v>
      </c>
      <c r="N134" s="9">
        <f t="shared" si="5"/>
        <v>1773.7823619999997</v>
      </c>
    </row>
    <row r="135" spans="1:14" x14ac:dyDescent="0.35">
      <c r="A135" s="7" t="s">
        <v>218</v>
      </c>
      <c r="B135" s="8">
        <v>45714</v>
      </c>
      <c r="C135" s="7" t="s">
        <v>52</v>
      </c>
      <c r="D135" s="7" t="s">
        <v>66</v>
      </c>
      <c r="E135" s="7" t="s">
        <v>77</v>
      </c>
      <c r="F135" s="7" t="s">
        <v>48</v>
      </c>
      <c r="G135" s="7" t="s">
        <v>55</v>
      </c>
      <c r="H135" s="7" t="s">
        <v>56</v>
      </c>
      <c r="I135" s="7">
        <v>3</v>
      </c>
      <c r="J135" s="9">
        <v>100.39</v>
      </c>
      <c r="K135" s="10">
        <v>6.7000000000000002E-3</v>
      </c>
      <c r="L135" s="9">
        <f t="shared" si="4"/>
        <v>299.15216099999998</v>
      </c>
      <c r="M135" s="9">
        <f>ROUND(L135*0.5865,2)</f>
        <v>175.45</v>
      </c>
      <c r="N135" s="9">
        <f t="shared" si="5"/>
        <v>123.70216099999999</v>
      </c>
    </row>
    <row r="136" spans="1:14" x14ac:dyDescent="0.35">
      <c r="A136" s="7" t="s">
        <v>219</v>
      </c>
      <c r="B136" s="8">
        <v>45716</v>
      </c>
      <c r="C136" s="7" t="s">
        <v>39</v>
      </c>
      <c r="D136" s="7" t="s">
        <v>40</v>
      </c>
      <c r="E136" s="7" t="s">
        <v>139</v>
      </c>
      <c r="F136" s="7" t="s">
        <v>59</v>
      </c>
      <c r="G136" s="7" t="s">
        <v>43</v>
      </c>
      <c r="H136" s="7" t="s">
        <v>60</v>
      </c>
      <c r="I136" s="7">
        <v>8</v>
      </c>
      <c r="J136" s="9">
        <v>315.81</v>
      </c>
      <c r="K136" s="10">
        <v>0.15820000000000001</v>
      </c>
      <c r="L136" s="9">
        <f t="shared" si="4"/>
        <v>2126.7908640000001</v>
      </c>
      <c r="M136" s="9">
        <f>ROUND(L136*0.6439,2)</f>
        <v>1369.44</v>
      </c>
      <c r="N136" s="9">
        <f t="shared" si="5"/>
        <v>757.350864</v>
      </c>
    </row>
    <row r="137" spans="1:14" x14ac:dyDescent="0.35">
      <c r="A137" s="7" t="s">
        <v>220</v>
      </c>
      <c r="B137" s="8">
        <v>45716</v>
      </c>
      <c r="C137" s="7" t="s">
        <v>76</v>
      </c>
      <c r="D137" s="7" t="s">
        <v>40</v>
      </c>
      <c r="E137" s="7" t="s">
        <v>47</v>
      </c>
      <c r="F137" s="7" t="s">
        <v>48</v>
      </c>
      <c r="G137" s="7" t="s">
        <v>55</v>
      </c>
      <c r="H137" s="7" t="s">
        <v>78</v>
      </c>
      <c r="I137" s="7">
        <v>2</v>
      </c>
      <c r="J137" s="9">
        <v>239.91</v>
      </c>
      <c r="K137" s="10">
        <v>4.5999999999999999E-2</v>
      </c>
      <c r="L137" s="9">
        <f t="shared" si="4"/>
        <v>457.74827999999997</v>
      </c>
      <c r="M137" s="9">
        <f>ROUND(L137*0.6523,2)</f>
        <v>298.58999999999997</v>
      </c>
      <c r="N137" s="9">
        <f t="shared" si="5"/>
        <v>159.15827999999999</v>
      </c>
    </row>
    <row r="138" spans="1:14" x14ac:dyDescent="0.35">
      <c r="A138" s="7" t="s">
        <v>221</v>
      </c>
      <c r="B138" s="8">
        <v>45716</v>
      </c>
      <c r="C138" s="7" t="s">
        <v>46</v>
      </c>
      <c r="D138" s="7" t="s">
        <v>66</v>
      </c>
      <c r="E138" s="7" t="s">
        <v>77</v>
      </c>
      <c r="F138" s="7" t="s">
        <v>48</v>
      </c>
      <c r="G138" s="7" t="s">
        <v>49</v>
      </c>
      <c r="H138" s="7" t="s">
        <v>95</v>
      </c>
      <c r="I138" s="7">
        <v>3</v>
      </c>
      <c r="J138" s="9">
        <v>97.51</v>
      </c>
      <c r="K138" s="10">
        <v>5.5100000000000003E-2</v>
      </c>
      <c r="L138" s="9">
        <f t="shared" si="4"/>
        <v>276.41159700000003</v>
      </c>
      <c r="M138" s="9">
        <f>ROUND(L138*0.6011,2)</f>
        <v>166.15</v>
      </c>
      <c r="N138" s="9">
        <f t="shared" si="5"/>
        <v>110.26159700000002</v>
      </c>
    </row>
    <row r="139" spans="1:14" x14ac:dyDescent="0.35">
      <c r="A139" s="7" t="s">
        <v>222</v>
      </c>
      <c r="B139" s="8">
        <v>45716</v>
      </c>
      <c r="C139" s="7" t="s">
        <v>52</v>
      </c>
      <c r="D139" s="7" t="s">
        <v>53</v>
      </c>
      <c r="E139" s="7" t="s">
        <v>87</v>
      </c>
      <c r="F139" s="7" t="s">
        <v>59</v>
      </c>
      <c r="G139" s="7" t="s">
        <v>49</v>
      </c>
      <c r="H139" s="7" t="s">
        <v>71</v>
      </c>
      <c r="I139" s="7">
        <v>10</v>
      </c>
      <c r="J139" s="9">
        <v>898.01</v>
      </c>
      <c r="K139" s="10">
        <v>8.5999999999999993E-2</v>
      </c>
      <c r="L139" s="9">
        <f t="shared" si="4"/>
        <v>8207.8114000000005</v>
      </c>
      <c r="M139" s="9">
        <f>ROUND(L139*0.6841,2)</f>
        <v>5614.96</v>
      </c>
      <c r="N139" s="9">
        <f t="shared" si="5"/>
        <v>2592.8514000000005</v>
      </c>
    </row>
    <row r="140" spans="1:14" x14ac:dyDescent="0.35">
      <c r="A140" s="7" t="s">
        <v>223</v>
      </c>
      <c r="B140" s="8">
        <v>45716</v>
      </c>
      <c r="C140" s="7" t="s">
        <v>46</v>
      </c>
      <c r="D140" s="7" t="s">
        <v>40</v>
      </c>
      <c r="E140" s="7" t="s">
        <v>91</v>
      </c>
      <c r="F140" s="7" t="s">
        <v>59</v>
      </c>
      <c r="G140" s="7" t="s">
        <v>55</v>
      </c>
      <c r="H140" s="7" t="s">
        <v>74</v>
      </c>
      <c r="I140" s="7">
        <v>6</v>
      </c>
      <c r="J140" s="9">
        <v>131.58000000000001</v>
      </c>
      <c r="K140" s="10">
        <v>4.4499999999999998E-2</v>
      </c>
      <c r="L140" s="9">
        <f t="shared" si="4"/>
        <v>754.34814000000006</v>
      </c>
      <c r="M140" s="9">
        <f>ROUND(L140*0.6501,2)</f>
        <v>490.4</v>
      </c>
      <c r="N140" s="9">
        <f t="shared" si="5"/>
        <v>263.94814000000008</v>
      </c>
    </row>
    <row r="141" spans="1:14" x14ac:dyDescent="0.35">
      <c r="A141" s="7" t="s">
        <v>224</v>
      </c>
      <c r="B141" s="8">
        <v>45717</v>
      </c>
      <c r="C141" s="7" t="s">
        <v>52</v>
      </c>
      <c r="D141" s="7" t="s">
        <v>69</v>
      </c>
      <c r="E141" s="7" t="s">
        <v>113</v>
      </c>
      <c r="F141" s="7" t="s">
        <v>48</v>
      </c>
      <c r="G141" s="7" t="s">
        <v>55</v>
      </c>
      <c r="H141" s="7" t="s">
        <v>56</v>
      </c>
      <c r="I141" s="7">
        <v>2</v>
      </c>
      <c r="J141" s="9">
        <v>248.09</v>
      </c>
      <c r="K141" s="10">
        <v>1.2999999999999999E-3</v>
      </c>
      <c r="L141" s="9">
        <f t="shared" si="4"/>
        <v>495.534966</v>
      </c>
      <c r="M141" s="9">
        <f>ROUND(L141*0.2415,2)</f>
        <v>119.67</v>
      </c>
      <c r="N141" s="9">
        <f t="shared" si="5"/>
        <v>375.86496599999998</v>
      </c>
    </row>
    <row r="142" spans="1:14" x14ac:dyDescent="0.35">
      <c r="A142" s="7" t="s">
        <v>225</v>
      </c>
      <c r="B142" s="8">
        <v>45718</v>
      </c>
      <c r="C142" s="7" t="s">
        <v>46</v>
      </c>
      <c r="D142" s="7" t="s">
        <v>53</v>
      </c>
      <c r="E142" s="7" t="s">
        <v>58</v>
      </c>
      <c r="F142" s="7" t="s">
        <v>48</v>
      </c>
      <c r="G142" s="7" t="s">
        <v>55</v>
      </c>
      <c r="H142" s="7" t="s">
        <v>74</v>
      </c>
      <c r="I142" s="7">
        <v>3</v>
      </c>
      <c r="J142" s="9">
        <v>679.92</v>
      </c>
      <c r="K142" s="10">
        <v>3.5499999999999997E-2</v>
      </c>
      <c r="L142" s="9">
        <f t="shared" si="4"/>
        <v>1967.3485199999998</v>
      </c>
      <c r="M142" s="9">
        <f>ROUND(L142*0.697,2)</f>
        <v>1371.24</v>
      </c>
      <c r="N142" s="9">
        <f t="shared" si="5"/>
        <v>596.10851999999977</v>
      </c>
    </row>
    <row r="143" spans="1:14" x14ac:dyDescent="0.35">
      <c r="A143" s="7" t="s">
        <v>226</v>
      </c>
      <c r="B143" s="8">
        <v>45719</v>
      </c>
      <c r="C143" s="7" t="s">
        <v>46</v>
      </c>
      <c r="D143" s="7" t="s">
        <v>53</v>
      </c>
      <c r="E143" s="7" t="s">
        <v>81</v>
      </c>
      <c r="F143" s="7" t="s">
        <v>48</v>
      </c>
      <c r="G143" s="7" t="s">
        <v>49</v>
      </c>
      <c r="H143" s="7" t="s">
        <v>95</v>
      </c>
      <c r="I143" s="7">
        <v>3</v>
      </c>
      <c r="J143" s="9">
        <v>1105.1099999999999</v>
      </c>
      <c r="K143" s="10">
        <v>3.0499999999999999E-2</v>
      </c>
      <c r="L143" s="9">
        <f t="shared" si="4"/>
        <v>3214.2124349999999</v>
      </c>
      <c r="M143" s="9">
        <f>ROUND(L143*0.6889,2)</f>
        <v>2214.27</v>
      </c>
      <c r="N143" s="9">
        <f t="shared" si="5"/>
        <v>999.94243499999993</v>
      </c>
    </row>
    <row r="144" spans="1:14" x14ac:dyDescent="0.35">
      <c r="A144" s="7" t="s">
        <v>227</v>
      </c>
      <c r="B144" s="8">
        <v>45719</v>
      </c>
      <c r="C144" s="7" t="s">
        <v>52</v>
      </c>
      <c r="D144" s="7" t="s">
        <v>66</v>
      </c>
      <c r="E144" s="7" t="s">
        <v>77</v>
      </c>
      <c r="F144" s="7" t="s">
        <v>48</v>
      </c>
      <c r="G144" s="7" t="s">
        <v>49</v>
      </c>
      <c r="H144" s="7" t="s">
        <v>64</v>
      </c>
      <c r="I144" s="7">
        <v>3</v>
      </c>
      <c r="J144" s="9">
        <v>96.99</v>
      </c>
      <c r="K144" s="10">
        <v>7.7000000000000002E-3</v>
      </c>
      <c r="L144" s="9">
        <f t="shared" si="4"/>
        <v>288.72953099999995</v>
      </c>
      <c r="M144" s="9">
        <f>ROUND(L144*0.5703,2)</f>
        <v>164.66</v>
      </c>
      <c r="N144" s="9">
        <f t="shared" si="5"/>
        <v>124.06953099999996</v>
      </c>
    </row>
    <row r="145" spans="1:14" x14ac:dyDescent="0.35">
      <c r="A145" s="7" t="s">
        <v>228</v>
      </c>
      <c r="B145" s="8">
        <v>45719</v>
      </c>
      <c r="C145" s="7" t="s">
        <v>39</v>
      </c>
      <c r="D145" s="7" t="s">
        <v>40</v>
      </c>
      <c r="E145" s="7" t="s">
        <v>139</v>
      </c>
      <c r="F145" s="7" t="s">
        <v>42</v>
      </c>
      <c r="G145" s="7" t="s">
        <v>49</v>
      </c>
      <c r="H145" s="7" t="s">
        <v>44</v>
      </c>
      <c r="I145" s="7">
        <v>10</v>
      </c>
      <c r="J145" s="9">
        <v>317.85000000000002</v>
      </c>
      <c r="K145" s="10">
        <v>0.1472</v>
      </c>
      <c r="L145" s="9">
        <f t="shared" si="4"/>
        <v>2710.6248000000001</v>
      </c>
      <c r="M145" s="9">
        <f>ROUND(L145*0.6491,2)</f>
        <v>1759.47</v>
      </c>
      <c r="N145" s="9">
        <f t="shared" si="5"/>
        <v>951.15480000000002</v>
      </c>
    </row>
    <row r="146" spans="1:14" x14ac:dyDescent="0.35">
      <c r="A146" s="7" t="s">
        <v>229</v>
      </c>
      <c r="B146" s="8">
        <v>45719</v>
      </c>
      <c r="C146" s="7" t="s">
        <v>52</v>
      </c>
      <c r="D146" s="7" t="s">
        <v>66</v>
      </c>
      <c r="E146" s="7" t="s">
        <v>77</v>
      </c>
      <c r="F146" s="7" t="s">
        <v>48</v>
      </c>
      <c r="G146" s="7" t="s">
        <v>55</v>
      </c>
      <c r="H146" s="7" t="s">
        <v>56</v>
      </c>
      <c r="I146" s="7">
        <v>3</v>
      </c>
      <c r="J146" s="9">
        <v>100.19</v>
      </c>
      <c r="K146" s="10">
        <v>3.9300000000000002E-2</v>
      </c>
      <c r="L146" s="9">
        <f t="shared" si="4"/>
        <v>288.75759899999997</v>
      </c>
      <c r="M146" s="9">
        <f>ROUND(L146*0.5583,2)</f>
        <v>161.21</v>
      </c>
      <c r="N146" s="9">
        <f t="shared" si="5"/>
        <v>127.54759899999996</v>
      </c>
    </row>
    <row r="147" spans="1:14" x14ac:dyDescent="0.35">
      <c r="A147" s="7" t="s">
        <v>230</v>
      </c>
      <c r="B147" s="8">
        <v>45720</v>
      </c>
      <c r="C147" s="7" t="s">
        <v>76</v>
      </c>
      <c r="D147" s="7" t="s">
        <v>66</v>
      </c>
      <c r="E147" s="7" t="s">
        <v>98</v>
      </c>
      <c r="F147" s="7" t="s">
        <v>48</v>
      </c>
      <c r="G147" s="7" t="s">
        <v>55</v>
      </c>
      <c r="H147" s="7" t="s">
        <v>78</v>
      </c>
      <c r="I147" s="7">
        <v>3</v>
      </c>
      <c r="J147" s="9">
        <v>28.01</v>
      </c>
      <c r="K147" s="10">
        <v>0.04</v>
      </c>
      <c r="L147" s="9">
        <f t="shared" si="4"/>
        <v>80.668800000000005</v>
      </c>
      <c r="M147" s="9">
        <f>ROUND(L147*0.5877,2)</f>
        <v>47.41</v>
      </c>
      <c r="N147" s="9">
        <f t="shared" si="5"/>
        <v>33.258800000000008</v>
      </c>
    </row>
    <row r="148" spans="1:14" x14ac:dyDescent="0.35">
      <c r="A148" s="7" t="s">
        <v>231</v>
      </c>
      <c r="B148" s="8">
        <v>45721</v>
      </c>
      <c r="C148" s="7" t="s">
        <v>52</v>
      </c>
      <c r="D148" s="7" t="s">
        <v>66</v>
      </c>
      <c r="E148" s="7" t="s">
        <v>98</v>
      </c>
      <c r="F148" s="7" t="s">
        <v>59</v>
      </c>
      <c r="G148" s="7" t="s">
        <v>55</v>
      </c>
      <c r="H148" s="7" t="s">
        <v>56</v>
      </c>
      <c r="I148" s="7">
        <v>5</v>
      </c>
      <c r="J148" s="9">
        <v>29.51</v>
      </c>
      <c r="K148" s="10">
        <v>7.8899999999999998E-2</v>
      </c>
      <c r="L148" s="9">
        <f t="shared" si="4"/>
        <v>135.90830500000001</v>
      </c>
      <c r="M148" s="9">
        <f>ROUND(L148*0.5719,2)</f>
        <v>77.73</v>
      </c>
      <c r="N148" s="9">
        <f t="shared" si="5"/>
        <v>58.178305000000009</v>
      </c>
    </row>
    <row r="149" spans="1:14" x14ac:dyDescent="0.35">
      <c r="A149" s="7" t="s">
        <v>232</v>
      </c>
      <c r="B149" s="8">
        <v>45722</v>
      </c>
      <c r="C149" s="7" t="s">
        <v>39</v>
      </c>
      <c r="D149" s="7" t="s">
        <v>66</v>
      </c>
      <c r="E149" s="7" t="s">
        <v>98</v>
      </c>
      <c r="F149" s="7" t="s">
        <v>42</v>
      </c>
      <c r="G149" s="7" t="s">
        <v>43</v>
      </c>
      <c r="H149" s="7" t="s">
        <v>44</v>
      </c>
      <c r="I149" s="7">
        <v>38</v>
      </c>
      <c r="J149" s="9">
        <v>29.27</v>
      </c>
      <c r="K149" s="10">
        <v>0.14710000000000001</v>
      </c>
      <c r="L149" s="9">
        <f t="shared" si="4"/>
        <v>948.64655400000004</v>
      </c>
      <c r="M149" s="9">
        <f>ROUND(L149*0.5562,2)</f>
        <v>527.64</v>
      </c>
      <c r="N149" s="9">
        <f t="shared" si="5"/>
        <v>421.00655400000005</v>
      </c>
    </row>
    <row r="150" spans="1:14" x14ac:dyDescent="0.35">
      <c r="A150" s="7" t="s">
        <v>233</v>
      </c>
      <c r="B150" s="8">
        <v>45722</v>
      </c>
      <c r="C150" s="7" t="s">
        <v>52</v>
      </c>
      <c r="D150" s="7" t="s">
        <v>53</v>
      </c>
      <c r="E150" s="7" t="s">
        <v>54</v>
      </c>
      <c r="F150" s="7" t="s">
        <v>48</v>
      </c>
      <c r="G150" s="7" t="s">
        <v>43</v>
      </c>
      <c r="H150" s="7" t="s">
        <v>83</v>
      </c>
      <c r="I150" s="7">
        <v>3</v>
      </c>
      <c r="J150" s="9">
        <v>1320.08</v>
      </c>
      <c r="K150" s="10">
        <v>6.7100000000000007E-2</v>
      </c>
      <c r="L150" s="9">
        <f t="shared" si="4"/>
        <v>3694.5078959999996</v>
      </c>
      <c r="M150" s="9">
        <f>ROUND(L150*0.7326,2)</f>
        <v>2706.6</v>
      </c>
      <c r="N150" s="9">
        <f t="shared" si="5"/>
        <v>987.90789599999971</v>
      </c>
    </row>
    <row r="151" spans="1:14" x14ac:dyDescent="0.35">
      <c r="A151" s="7" t="s">
        <v>234</v>
      </c>
      <c r="B151" s="8">
        <v>45723</v>
      </c>
      <c r="C151" s="7" t="s">
        <v>52</v>
      </c>
      <c r="D151" s="7" t="s">
        <v>69</v>
      </c>
      <c r="E151" s="7" t="s">
        <v>113</v>
      </c>
      <c r="F151" s="7" t="s">
        <v>42</v>
      </c>
      <c r="G151" s="7" t="s">
        <v>43</v>
      </c>
      <c r="H151" s="7" t="s">
        <v>71</v>
      </c>
      <c r="I151" s="7">
        <v>15</v>
      </c>
      <c r="J151" s="9">
        <v>249.41</v>
      </c>
      <c r="K151" s="10">
        <v>0.1852</v>
      </c>
      <c r="L151" s="9">
        <f t="shared" si="4"/>
        <v>3048.2890200000002</v>
      </c>
      <c r="M151" s="9">
        <f>ROUND(L151*0.2173,2)</f>
        <v>662.39</v>
      </c>
      <c r="N151" s="9">
        <f t="shared" si="5"/>
        <v>2385.8990200000003</v>
      </c>
    </row>
    <row r="152" spans="1:14" x14ac:dyDescent="0.35">
      <c r="A152" s="7" t="s">
        <v>235</v>
      </c>
      <c r="B152" s="8">
        <v>45724</v>
      </c>
      <c r="C152" s="7" t="s">
        <v>46</v>
      </c>
      <c r="D152" s="7" t="s">
        <v>69</v>
      </c>
      <c r="E152" s="7" t="s">
        <v>132</v>
      </c>
      <c r="F152" s="7" t="s">
        <v>59</v>
      </c>
      <c r="G152" s="7" t="s">
        <v>55</v>
      </c>
      <c r="H152" s="7" t="s">
        <v>74</v>
      </c>
      <c r="I152" s="7">
        <v>10</v>
      </c>
      <c r="J152" s="9">
        <v>79.61</v>
      </c>
      <c r="K152" s="10">
        <v>5.9400000000000001E-2</v>
      </c>
      <c r="L152" s="9">
        <f t="shared" si="4"/>
        <v>748.81165999999996</v>
      </c>
      <c r="M152" s="9">
        <f>ROUND(L152*0.2409,2)</f>
        <v>180.39</v>
      </c>
      <c r="N152" s="9">
        <f t="shared" si="5"/>
        <v>568.42165999999997</v>
      </c>
    </row>
    <row r="153" spans="1:14" x14ac:dyDescent="0.35">
      <c r="A153" s="7" t="s">
        <v>236</v>
      </c>
      <c r="B153" s="8">
        <v>45724</v>
      </c>
      <c r="C153" s="7" t="s">
        <v>39</v>
      </c>
      <c r="D153" s="7" t="s">
        <v>69</v>
      </c>
      <c r="E153" s="7" t="s">
        <v>119</v>
      </c>
      <c r="F153" s="7" t="s">
        <v>48</v>
      </c>
      <c r="G153" s="7" t="s">
        <v>49</v>
      </c>
      <c r="H153" s="7" t="s">
        <v>44</v>
      </c>
      <c r="I153" s="7">
        <v>3</v>
      </c>
      <c r="J153" s="9">
        <v>191.74</v>
      </c>
      <c r="K153" s="10">
        <v>3.2300000000000002E-2</v>
      </c>
      <c r="L153" s="9">
        <f t="shared" si="4"/>
        <v>556.64039400000001</v>
      </c>
      <c r="M153" s="9">
        <f>ROUND(L153*0.2151,2)</f>
        <v>119.73</v>
      </c>
      <c r="N153" s="9">
        <f t="shared" si="5"/>
        <v>436.910394</v>
      </c>
    </row>
    <row r="154" spans="1:14" x14ac:dyDescent="0.35">
      <c r="A154" s="7" t="s">
        <v>237</v>
      </c>
      <c r="B154" s="8">
        <v>45724</v>
      </c>
      <c r="C154" s="7" t="s">
        <v>46</v>
      </c>
      <c r="D154" s="7" t="s">
        <v>69</v>
      </c>
      <c r="E154" s="7" t="s">
        <v>119</v>
      </c>
      <c r="F154" s="7" t="s">
        <v>48</v>
      </c>
      <c r="G154" s="7" t="s">
        <v>49</v>
      </c>
      <c r="H154" s="7" t="s">
        <v>50</v>
      </c>
      <c r="I154" s="7">
        <v>2</v>
      </c>
      <c r="J154" s="9">
        <v>199.91</v>
      </c>
      <c r="K154" s="10">
        <v>4.87E-2</v>
      </c>
      <c r="L154" s="9">
        <f t="shared" si="4"/>
        <v>380.34876600000001</v>
      </c>
      <c r="M154" s="9">
        <f>ROUND(L154*0.2351,2)</f>
        <v>89.42</v>
      </c>
      <c r="N154" s="9">
        <f t="shared" si="5"/>
        <v>290.928766</v>
      </c>
    </row>
    <row r="155" spans="1:14" x14ac:dyDescent="0.35">
      <c r="A155" s="7" t="s">
        <v>238</v>
      </c>
      <c r="B155" s="8">
        <v>45725</v>
      </c>
      <c r="C155" s="7" t="s">
        <v>52</v>
      </c>
      <c r="D155" s="7" t="s">
        <v>40</v>
      </c>
      <c r="E155" s="7" t="s">
        <v>62</v>
      </c>
      <c r="F155" s="7" t="s">
        <v>42</v>
      </c>
      <c r="G155" s="7" t="s">
        <v>43</v>
      </c>
      <c r="H155" s="7" t="s">
        <v>71</v>
      </c>
      <c r="I155" s="7">
        <v>11</v>
      </c>
      <c r="J155" s="9">
        <v>196.32</v>
      </c>
      <c r="K155" s="10">
        <v>0.1724</v>
      </c>
      <c r="L155" s="9">
        <f t="shared" si="4"/>
        <v>1787.218752</v>
      </c>
      <c r="M155" s="9">
        <f>ROUND(L155*0.6477,2)</f>
        <v>1157.58</v>
      </c>
      <c r="N155" s="9">
        <f t="shared" si="5"/>
        <v>629.63875200000007</v>
      </c>
    </row>
    <row r="156" spans="1:14" x14ac:dyDescent="0.35">
      <c r="A156" s="7" t="s">
        <v>239</v>
      </c>
      <c r="B156" s="8">
        <v>45725</v>
      </c>
      <c r="C156" s="7" t="s">
        <v>76</v>
      </c>
      <c r="D156" s="7" t="s">
        <v>40</v>
      </c>
      <c r="E156" s="7" t="s">
        <v>91</v>
      </c>
      <c r="F156" s="7" t="s">
        <v>48</v>
      </c>
      <c r="G156" s="7" t="s">
        <v>55</v>
      </c>
      <c r="H156" s="7" t="s">
        <v>78</v>
      </c>
      <c r="I156" s="7">
        <v>2</v>
      </c>
      <c r="J156" s="9">
        <v>132.29</v>
      </c>
      <c r="K156" s="10">
        <v>6.3799999999999996E-2</v>
      </c>
      <c r="L156" s="9">
        <f t="shared" si="4"/>
        <v>247.69979599999999</v>
      </c>
      <c r="M156" s="9">
        <f>ROUND(L156*0.6583,2)</f>
        <v>163.06</v>
      </c>
      <c r="N156" s="9">
        <f t="shared" si="5"/>
        <v>84.63979599999999</v>
      </c>
    </row>
    <row r="157" spans="1:14" x14ac:dyDescent="0.35">
      <c r="A157" s="7" t="s">
        <v>240</v>
      </c>
      <c r="B157" s="8">
        <v>45726</v>
      </c>
      <c r="C157" s="7" t="s">
        <v>46</v>
      </c>
      <c r="D157" s="7" t="s">
        <v>69</v>
      </c>
      <c r="E157" s="7" t="s">
        <v>113</v>
      </c>
      <c r="F157" s="7" t="s">
        <v>42</v>
      </c>
      <c r="G157" s="7" t="s">
        <v>43</v>
      </c>
      <c r="H157" s="7" t="s">
        <v>50</v>
      </c>
      <c r="I157" s="7">
        <v>37</v>
      </c>
      <c r="J157" s="9">
        <v>243.08</v>
      </c>
      <c r="K157" s="10">
        <v>0.12590000000000001</v>
      </c>
      <c r="L157" s="9">
        <f t="shared" si="4"/>
        <v>7861.6204360000011</v>
      </c>
      <c r="M157" s="9">
        <f>ROUND(L157*0.2599,2)</f>
        <v>2043.24</v>
      </c>
      <c r="N157" s="9">
        <f t="shared" si="5"/>
        <v>5818.3804360000013</v>
      </c>
    </row>
    <row r="158" spans="1:14" x14ac:dyDescent="0.35">
      <c r="A158" s="7" t="s">
        <v>241</v>
      </c>
      <c r="B158" s="8">
        <v>45726</v>
      </c>
      <c r="C158" s="7" t="s">
        <v>46</v>
      </c>
      <c r="D158" s="7" t="s">
        <v>40</v>
      </c>
      <c r="E158" s="7" t="s">
        <v>62</v>
      </c>
      <c r="F158" s="7" t="s">
        <v>48</v>
      </c>
      <c r="G158" s="7" t="s">
        <v>55</v>
      </c>
      <c r="H158" s="7" t="s">
        <v>74</v>
      </c>
      <c r="I158" s="7">
        <v>2</v>
      </c>
      <c r="J158" s="9">
        <v>196.64</v>
      </c>
      <c r="K158" s="10">
        <v>5.4199999999999998E-2</v>
      </c>
      <c r="L158" s="9">
        <f t="shared" si="4"/>
        <v>371.96422399999994</v>
      </c>
      <c r="M158" s="9">
        <f>ROUND(L158*0.6622,2)</f>
        <v>246.31</v>
      </c>
      <c r="N158" s="9">
        <f t="shared" si="5"/>
        <v>125.65422399999994</v>
      </c>
    </row>
    <row r="159" spans="1:14" x14ac:dyDescent="0.35">
      <c r="A159" s="7" t="s">
        <v>242</v>
      </c>
      <c r="B159" s="8">
        <v>45726</v>
      </c>
      <c r="C159" s="7" t="s">
        <v>39</v>
      </c>
      <c r="D159" s="7" t="s">
        <v>53</v>
      </c>
      <c r="E159" s="7" t="s">
        <v>54</v>
      </c>
      <c r="F159" s="7" t="s">
        <v>59</v>
      </c>
      <c r="G159" s="7" t="s">
        <v>49</v>
      </c>
      <c r="H159" s="7" t="s">
        <v>44</v>
      </c>
      <c r="I159" s="7">
        <v>10</v>
      </c>
      <c r="J159" s="9">
        <v>1230.19</v>
      </c>
      <c r="K159" s="10">
        <v>0.1356</v>
      </c>
      <c r="L159" s="9">
        <f t="shared" si="4"/>
        <v>10633.762360000002</v>
      </c>
      <c r="M159" s="9">
        <f>ROUND(L159*0.6988,2)</f>
        <v>7430.87</v>
      </c>
      <c r="N159" s="9">
        <f t="shared" si="5"/>
        <v>3202.8923600000026</v>
      </c>
    </row>
    <row r="160" spans="1:14" x14ac:dyDescent="0.35">
      <c r="A160" s="7" t="s">
        <v>243</v>
      </c>
      <c r="B160" s="8">
        <v>45726</v>
      </c>
      <c r="C160" s="7" t="s">
        <v>39</v>
      </c>
      <c r="D160" s="7" t="s">
        <v>53</v>
      </c>
      <c r="E160" s="7" t="s">
        <v>87</v>
      </c>
      <c r="F160" s="7" t="s">
        <v>42</v>
      </c>
      <c r="G160" s="7" t="s">
        <v>49</v>
      </c>
      <c r="H160" s="7" t="s">
        <v>60</v>
      </c>
      <c r="I160" s="7">
        <v>10</v>
      </c>
      <c r="J160" s="9">
        <v>900.86</v>
      </c>
      <c r="K160" s="10">
        <v>0.159</v>
      </c>
      <c r="L160" s="9">
        <f t="shared" si="4"/>
        <v>7576.2326000000003</v>
      </c>
      <c r="M160" s="9">
        <f>ROUND(L160*0.7329,2)</f>
        <v>5552.62</v>
      </c>
      <c r="N160" s="9">
        <f t="shared" si="5"/>
        <v>2023.6126000000004</v>
      </c>
    </row>
    <row r="161" spans="1:14" x14ac:dyDescent="0.35">
      <c r="A161" s="7" t="s">
        <v>244</v>
      </c>
      <c r="B161" s="8">
        <v>45726</v>
      </c>
      <c r="C161" s="7" t="s">
        <v>76</v>
      </c>
      <c r="D161" s="7" t="s">
        <v>69</v>
      </c>
      <c r="E161" s="7" t="s">
        <v>113</v>
      </c>
      <c r="F161" s="7" t="s">
        <v>42</v>
      </c>
      <c r="G161" s="7" t="s">
        <v>43</v>
      </c>
      <c r="H161" s="7" t="s">
        <v>151</v>
      </c>
      <c r="I161" s="7">
        <v>38</v>
      </c>
      <c r="J161" s="9">
        <v>241.07</v>
      </c>
      <c r="K161" s="10">
        <v>0.1396</v>
      </c>
      <c r="L161" s="9">
        <f t="shared" si="4"/>
        <v>7881.8318640000007</v>
      </c>
      <c r="M161" s="9">
        <f>ROUND(L161*0.2577,2)</f>
        <v>2031.15</v>
      </c>
      <c r="N161" s="9">
        <f t="shared" si="5"/>
        <v>5850.6818640000001</v>
      </c>
    </row>
    <row r="162" spans="1:14" x14ac:dyDescent="0.35">
      <c r="A162" s="7" t="s">
        <v>245</v>
      </c>
      <c r="B162" s="8">
        <v>45726</v>
      </c>
      <c r="C162" s="7" t="s">
        <v>39</v>
      </c>
      <c r="D162" s="7" t="s">
        <v>66</v>
      </c>
      <c r="E162" s="7" t="s">
        <v>73</v>
      </c>
      <c r="F162" s="7" t="s">
        <v>42</v>
      </c>
      <c r="G162" s="7" t="s">
        <v>55</v>
      </c>
      <c r="H162" s="7" t="s">
        <v>108</v>
      </c>
      <c r="I162" s="7">
        <v>36</v>
      </c>
      <c r="J162" s="9">
        <v>39.49</v>
      </c>
      <c r="K162" s="10">
        <v>6.6500000000000004E-2</v>
      </c>
      <c r="L162" s="9">
        <f t="shared" si="4"/>
        <v>1327.10094</v>
      </c>
      <c r="M162" s="9">
        <f>ROUND(L162*0.5628,2)</f>
        <v>746.89</v>
      </c>
      <c r="N162" s="9">
        <f t="shared" si="5"/>
        <v>580.21094000000005</v>
      </c>
    </row>
    <row r="163" spans="1:14" x14ac:dyDescent="0.35">
      <c r="A163" s="7" t="s">
        <v>246</v>
      </c>
      <c r="B163" s="8">
        <v>45726</v>
      </c>
      <c r="C163" s="7" t="s">
        <v>46</v>
      </c>
      <c r="D163" s="7" t="s">
        <v>69</v>
      </c>
      <c r="E163" s="7" t="s">
        <v>70</v>
      </c>
      <c r="F163" s="7" t="s">
        <v>48</v>
      </c>
      <c r="G163" s="7" t="s">
        <v>49</v>
      </c>
      <c r="H163" s="7" t="s">
        <v>95</v>
      </c>
      <c r="I163" s="7">
        <v>1</v>
      </c>
      <c r="J163" s="9">
        <v>145.49</v>
      </c>
      <c r="K163" s="10">
        <v>6.6400000000000001E-2</v>
      </c>
      <c r="L163" s="9">
        <f t="shared" si="4"/>
        <v>135.829464</v>
      </c>
      <c r="M163" s="9">
        <f>ROUND(L163*0.2269,2)</f>
        <v>30.82</v>
      </c>
      <c r="N163" s="9">
        <f t="shared" si="5"/>
        <v>105.00946400000001</v>
      </c>
    </row>
    <row r="164" spans="1:14" x14ac:dyDescent="0.35">
      <c r="A164" s="7" t="s">
        <v>247</v>
      </c>
      <c r="B164" s="8">
        <v>45726</v>
      </c>
      <c r="C164" s="7" t="s">
        <v>52</v>
      </c>
      <c r="D164" s="7" t="s">
        <v>69</v>
      </c>
      <c r="E164" s="7" t="s">
        <v>132</v>
      </c>
      <c r="F164" s="7" t="s">
        <v>42</v>
      </c>
      <c r="G164" s="7" t="s">
        <v>43</v>
      </c>
      <c r="H164" s="7" t="s">
        <v>71</v>
      </c>
      <c r="I164" s="7">
        <v>36</v>
      </c>
      <c r="J164" s="9">
        <v>78.13</v>
      </c>
      <c r="K164" s="10">
        <v>0.16320000000000001</v>
      </c>
      <c r="L164" s="9">
        <f t="shared" si="4"/>
        <v>2353.6506239999999</v>
      </c>
      <c r="M164" s="9">
        <f>ROUND(L164*0.2111,2)</f>
        <v>496.86</v>
      </c>
      <c r="N164" s="9">
        <f t="shared" si="5"/>
        <v>1856.7906239999998</v>
      </c>
    </row>
    <row r="165" spans="1:14" x14ac:dyDescent="0.35">
      <c r="A165" s="7" t="s">
        <v>248</v>
      </c>
      <c r="B165" s="8">
        <v>45727</v>
      </c>
      <c r="C165" s="7" t="s">
        <v>39</v>
      </c>
      <c r="D165" s="7" t="s">
        <v>53</v>
      </c>
      <c r="E165" s="7" t="s">
        <v>105</v>
      </c>
      <c r="F165" s="7" t="s">
        <v>48</v>
      </c>
      <c r="G165" s="7" t="s">
        <v>49</v>
      </c>
      <c r="H165" s="7" t="s">
        <v>44</v>
      </c>
      <c r="I165" s="7">
        <v>1</v>
      </c>
      <c r="J165" s="9">
        <v>419.69</v>
      </c>
      <c r="K165" s="10">
        <v>4.4499999999999998E-2</v>
      </c>
      <c r="L165" s="9">
        <f t="shared" si="4"/>
        <v>401.01379500000002</v>
      </c>
      <c r="M165" s="9">
        <f>ROUND(L165*0.7,2)</f>
        <v>280.70999999999998</v>
      </c>
      <c r="N165" s="9">
        <f t="shared" si="5"/>
        <v>120.30379500000004</v>
      </c>
    </row>
    <row r="166" spans="1:14" x14ac:dyDescent="0.35">
      <c r="A166" s="7" t="s">
        <v>249</v>
      </c>
      <c r="B166" s="8">
        <v>45727</v>
      </c>
      <c r="C166" s="7" t="s">
        <v>52</v>
      </c>
      <c r="D166" s="7" t="s">
        <v>66</v>
      </c>
      <c r="E166" s="7" t="s">
        <v>77</v>
      </c>
      <c r="F166" s="7" t="s">
        <v>42</v>
      </c>
      <c r="G166" s="7" t="s">
        <v>43</v>
      </c>
      <c r="H166" s="7" t="s">
        <v>71</v>
      </c>
      <c r="I166" s="7">
        <v>24</v>
      </c>
      <c r="J166" s="9">
        <v>93.42</v>
      </c>
      <c r="K166" s="10">
        <v>0.13439999999999999</v>
      </c>
      <c r="L166" s="9">
        <f t="shared" si="4"/>
        <v>1940.7444479999999</v>
      </c>
      <c r="M166" s="9">
        <f>ROUND(L166*0.5672,2)</f>
        <v>1100.79</v>
      </c>
      <c r="N166" s="9">
        <f t="shared" si="5"/>
        <v>839.95444799999996</v>
      </c>
    </row>
    <row r="167" spans="1:14" x14ac:dyDescent="0.35">
      <c r="A167" s="7" t="s">
        <v>250</v>
      </c>
      <c r="B167" s="8">
        <v>45727</v>
      </c>
      <c r="C167" s="7" t="s">
        <v>52</v>
      </c>
      <c r="D167" s="7" t="s">
        <v>69</v>
      </c>
      <c r="E167" s="7" t="s">
        <v>119</v>
      </c>
      <c r="F167" s="7" t="s">
        <v>59</v>
      </c>
      <c r="G167" s="7" t="s">
        <v>49</v>
      </c>
      <c r="H167" s="7" t="s">
        <v>83</v>
      </c>
      <c r="I167" s="7">
        <v>8</v>
      </c>
      <c r="J167" s="9">
        <v>200.48</v>
      </c>
      <c r="K167" s="10">
        <v>0.14419999999999999</v>
      </c>
      <c r="L167" s="9">
        <f t="shared" si="4"/>
        <v>1372.566272</v>
      </c>
      <c r="M167" s="9">
        <f>ROUND(L167*0.2488,2)</f>
        <v>341.49</v>
      </c>
      <c r="N167" s="9">
        <f t="shared" si="5"/>
        <v>1031.076272</v>
      </c>
    </row>
    <row r="168" spans="1:14" x14ac:dyDescent="0.35">
      <c r="A168" s="7" t="s">
        <v>251</v>
      </c>
      <c r="B168" s="8">
        <v>45728</v>
      </c>
      <c r="C168" s="7" t="s">
        <v>52</v>
      </c>
      <c r="D168" s="7" t="s">
        <v>53</v>
      </c>
      <c r="E168" s="7" t="s">
        <v>54</v>
      </c>
      <c r="F168" s="7" t="s">
        <v>48</v>
      </c>
      <c r="G168" s="7" t="s">
        <v>49</v>
      </c>
      <c r="H168" s="7" t="s">
        <v>71</v>
      </c>
      <c r="I168" s="7">
        <v>3</v>
      </c>
      <c r="J168" s="9">
        <v>1298.76</v>
      </c>
      <c r="K168" s="10">
        <v>4.3299999999999998E-2</v>
      </c>
      <c r="L168" s="9">
        <f t="shared" si="4"/>
        <v>3727.5710759999997</v>
      </c>
      <c r="M168" s="9">
        <f>ROUND(L168*0.7039,2)</f>
        <v>2623.84</v>
      </c>
      <c r="N168" s="9">
        <f t="shared" si="5"/>
        <v>1103.7310759999996</v>
      </c>
    </row>
    <row r="169" spans="1:14" x14ac:dyDescent="0.35">
      <c r="A169" s="7" t="s">
        <v>252</v>
      </c>
      <c r="B169" s="8">
        <v>45728</v>
      </c>
      <c r="C169" s="7" t="s">
        <v>76</v>
      </c>
      <c r="D169" s="7" t="s">
        <v>69</v>
      </c>
      <c r="E169" s="7" t="s">
        <v>113</v>
      </c>
      <c r="F169" s="7" t="s">
        <v>59</v>
      </c>
      <c r="G169" s="7" t="s">
        <v>49</v>
      </c>
      <c r="H169" s="7" t="s">
        <v>110</v>
      </c>
      <c r="I169" s="7">
        <v>9</v>
      </c>
      <c r="J169" s="9">
        <v>238.89</v>
      </c>
      <c r="K169" s="10">
        <v>9.8900000000000002E-2</v>
      </c>
      <c r="L169" s="9">
        <f t="shared" si="4"/>
        <v>1937.3740109999999</v>
      </c>
      <c r="M169" s="9">
        <f>ROUND(L169*0.2508,2)</f>
        <v>485.89</v>
      </c>
      <c r="N169" s="9">
        <f t="shared" si="5"/>
        <v>1451.484011</v>
      </c>
    </row>
    <row r="170" spans="1:14" x14ac:dyDescent="0.35">
      <c r="A170" s="7" t="s">
        <v>253</v>
      </c>
      <c r="B170" s="8">
        <v>45728</v>
      </c>
      <c r="C170" s="7" t="s">
        <v>76</v>
      </c>
      <c r="D170" s="7" t="s">
        <v>53</v>
      </c>
      <c r="E170" s="7" t="s">
        <v>58</v>
      </c>
      <c r="F170" s="7" t="s">
        <v>48</v>
      </c>
      <c r="G170" s="7" t="s">
        <v>55</v>
      </c>
      <c r="H170" s="7" t="s">
        <v>78</v>
      </c>
      <c r="I170" s="7">
        <v>2</v>
      </c>
      <c r="J170" s="9">
        <v>724.1</v>
      </c>
      <c r="K170" s="10">
        <v>3.04E-2</v>
      </c>
      <c r="L170" s="9">
        <f t="shared" si="4"/>
        <v>1404.17472</v>
      </c>
      <c r="M170" s="9">
        <f>ROUND(L170*0.7258,2)</f>
        <v>1019.15</v>
      </c>
      <c r="N170" s="9">
        <f t="shared" si="5"/>
        <v>385.02472</v>
      </c>
    </row>
    <row r="171" spans="1:14" x14ac:dyDescent="0.35">
      <c r="A171" s="7" t="s">
        <v>254</v>
      </c>
      <c r="B171" s="8">
        <v>45728</v>
      </c>
      <c r="C171" s="7" t="s">
        <v>46</v>
      </c>
      <c r="D171" s="7" t="s">
        <v>66</v>
      </c>
      <c r="E171" s="7" t="s">
        <v>137</v>
      </c>
      <c r="F171" s="7" t="s">
        <v>48</v>
      </c>
      <c r="G171" s="7" t="s">
        <v>55</v>
      </c>
      <c r="H171" s="7" t="s">
        <v>74</v>
      </c>
      <c r="I171" s="7">
        <v>3</v>
      </c>
      <c r="J171" s="9">
        <v>152.9</v>
      </c>
      <c r="K171" s="10">
        <v>4.2500000000000003E-2</v>
      </c>
      <c r="L171" s="9">
        <f t="shared" si="4"/>
        <v>439.20525000000004</v>
      </c>
      <c r="M171" s="9">
        <f>ROUND(L171*0.5526,2)</f>
        <v>242.7</v>
      </c>
      <c r="N171" s="9">
        <f t="shared" si="5"/>
        <v>196.50525000000005</v>
      </c>
    </row>
    <row r="172" spans="1:14" x14ac:dyDescent="0.35">
      <c r="A172" s="7" t="s">
        <v>255</v>
      </c>
      <c r="B172" s="8">
        <v>45728</v>
      </c>
      <c r="C172" s="7" t="s">
        <v>46</v>
      </c>
      <c r="D172" s="7" t="s">
        <v>66</v>
      </c>
      <c r="E172" s="7" t="s">
        <v>73</v>
      </c>
      <c r="F172" s="7" t="s">
        <v>48</v>
      </c>
      <c r="G172" s="7" t="s">
        <v>55</v>
      </c>
      <c r="H172" s="7" t="s">
        <v>74</v>
      </c>
      <c r="I172" s="7">
        <v>3</v>
      </c>
      <c r="J172" s="9">
        <v>40.159999999999997</v>
      </c>
      <c r="K172" s="10">
        <v>4.0500000000000001E-2</v>
      </c>
      <c r="L172" s="9">
        <f t="shared" si="4"/>
        <v>115.60055999999999</v>
      </c>
      <c r="M172" s="9">
        <f>ROUND(L172*0.5858,2)</f>
        <v>67.72</v>
      </c>
      <c r="N172" s="9">
        <f t="shared" si="5"/>
        <v>47.880559999999988</v>
      </c>
    </row>
    <row r="173" spans="1:14" x14ac:dyDescent="0.35">
      <c r="A173" s="7" t="s">
        <v>256</v>
      </c>
      <c r="B173" s="8">
        <v>45729</v>
      </c>
      <c r="C173" s="7" t="s">
        <v>39</v>
      </c>
      <c r="D173" s="7" t="s">
        <v>66</v>
      </c>
      <c r="E173" s="7" t="s">
        <v>98</v>
      </c>
      <c r="F173" s="7" t="s">
        <v>59</v>
      </c>
      <c r="G173" s="7" t="s">
        <v>43</v>
      </c>
      <c r="H173" s="7" t="s">
        <v>60</v>
      </c>
      <c r="I173" s="7">
        <v>6</v>
      </c>
      <c r="J173" s="9">
        <v>28.95</v>
      </c>
      <c r="K173" s="10">
        <v>0.1055</v>
      </c>
      <c r="L173" s="9">
        <f t="shared" si="4"/>
        <v>155.37464999999997</v>
      </c>
      <c r="M173" s="9">
        <f>ROUND(L173*0.5963,2)</f>
        <v>92.65</v>
      </c>
      <c r="N173" s="9">
        <f t="shared" si="5"/>
        <v>62.724649999999968</v>
      </c>
    </row>
    <row r="174" spans="1:14" x14ac:dyDescent="0.35">
      <c r="A174" s="7" t="s">
        <v>257</v>
      </c>
      <c r="B174" s="8">
        <v>45730</v>
      </c>
      <c r="C174" s="7" t="s">
        <v>52</v>
      </c>
      <c r="D174" s="7" t="s">
        <v>40</v>
      </c>
      <c r="E174" s="7" t="s">
        <v>91</v>
      </c>
      <c r="F174" s="7" t="s">
        <v>59</v>
      </c>
      <c r="G174" s="7" t="s">
        <v>49</v>
      </c>
      <c r="H174" s="7" t="s">
        <v>83</v>
      </c>
      <c r="I174" s="7">
        <v>3</v>
      </c>
      <c r="J174" s="9">
        <v>127.19</v>
      </c>
      <c r="K174" s="10">
        <v>0.1197</v>
      </c>
      <c r="L174" s="9">
        <f t="shared" si="4"/>
        <v>335.89607100000001</v>
      </c>
      <c r="M174" s="9">
        <f>ROUND(L174*0.6437,2)</f>
        <v>216.22</v>
      </c>
      <c r="N174" s="9">
        <f t="shared" si="5"/>
        <v>119.67607100000001</v>
      </c>
    </row>
    <row r="175" spans="1:14" x14ac:dyDescent="0.35">
      <c r="A175" s="7" t="s">
        <v>258</v>
      </c>
      <c r="B175" s="8">
        <v>45730</v>
      </c>
      <c r="C175" s="7" t="s">
        <v>76</v>
      </c>
      <c r="D175" s="7" t="s">
        <v>53</v>
      </c>
      <c r="E175" s="7" t="s">
        <v>58</v>
      </c>
      <c r="F175" s="7" t="s">
        <v>59</v>
      </c>
      <c r="G175" s="7" t="s">
        <v>43</v>
      </c>
      <c r="H175" s="7" t="s">
        <v>110</v>
      </c>
      <c r="I175" s="7">
        <v>7</v>
      </c>
      <c r="J175" s="9">
        <v>698.49</v>
      </c>
      <c r="K175" s="10">
        <v>0.14779999999999999</v>
      </c>
      <c r="L175" s="9">
        <f t="shared" si="4"/>
        <v>4166.7722460000005</v>
      </c>
      <c r="M175" s="9">
        <f>ROUND(L175*0.7267,2)</f>
        <v>3027.99</v>
      </c>
      <c r="N175" s="9">
        <f t="shared" si="5"/>
        <v>1138.7822460000007</v>
      </c>
    </row>
    <row r="176" spans="1:14" x14ac:dyDescent="0.35">
      <c r="A176" s="7" t="s">
        <v>259</v>
      </c>
      <c r="B176" s="8">
        <v>45730</v>
      </c>
      <c r="C176" s="7" t="s">
        <v>39</v>
      </c>
      <c r="D176" s="7" t="s">
        <v>69</v>
      </c>
      <c r="E176" s="7" t="s">
        <v>119</v>
      </c>
      <c r="F176" s="7" t="s">
        <v>42</v>
      </c>
      <c r="G176" s="7" t="s">
        <v>43</v>
      </c>
      <c r="H176" s="7" t="s">
        <v>44</v>
      </c>
      <c r="I176" s="7">
        <v>29</v>
      </c>
      <c r="J176" s="9">
        <v>188.69</v>
      </c>
      <c r="K176" s="10">
        <v>0.21679999999999999</v>
      </c>
      <c r="L176" s="9">
        <f t="shared" si="4"/>
        <v>4285.6782320000002</v>
      </c>
      <c r="M176" s="9">
        <f>ROUND(L176*0.227,2)</f>
        <v>972.85</v>
      </c>
      <c r="N176" s="9">
        <f t="shared" si="5"/>
        <v>3312.8282320000003</v>
      </c>
    </row>
    <row r="177" spans="1:14" x14ac:dyDescent="0.35">
      <c r="A177" s="7" t="s">
        <v>260</v>
      </c>
      <c r="B177" s="8">
        <v>45730</v>
      </c>
      <c r="C177" s="7" t="s">
        <v>52</v>
      </c>
      <c r="D177" s="7" t="s">
        <v>53</v>
      </c>
      <c r="E177" s="7" t="s">
        <v>81</v>
      </c>
      <c r="F177" s="7" t="s">
        <v>48</v>
      </c>
      <c r="G177" s="7" t="s">
        <v>55</v>
      </c>
      <c r="H177" s="7" t="s">
        <v>56</v>
      </c>
      <c r="I177" s="7">
        <v>3</v>
      </c>
      <c r="J177" s="9">
        <v>1095.49</v>
      </c>
      <c r="K177" s="10">
        <v>3.04E-2</v>
      </c>
      <c r="L177" s="9">
        <f t="shared" si="4"/>
        <v>3186.5613120000003</v>
      </c>
      <c r="M177" s="9">
        <f>ROUND(L177*0.7017,2)</f>
        <v>2236.0100000000002</v>
      </c>
      <c r="N177" s="9">
        <f t="shared" si="5"/>
        <v>950.55131200000005</v>
      </c>
    </row>
    <row r="178" spans="1:14" x14ac:dyDescent="0.35">
      <c r="A178" s="7" t="s">
        <v>261</v>
      </c>
      <c r="B178" s="8">
        <v>45731</v>
      </c>
      <c r="C178" s="7" t="s">
        <v>52</v>
      </c>
      <c r="D178" s="7" t="s">
        <v>69</v>
      </c>
      <c r="E178" s="7" t="s">
        <v>107</v>
      </c>
      <c r="F178" s="7" t="s">
        <v>59</v>
      </c>
      <c r="G178" s="7" t="s">
        <v>43</v>
      </c>
      <c r="H178" s="7" t="s">
        <v>71</v>
      </c>
      <c r="I178" s="7">
        <v>4</v>
      </c>
      <c r="J178" s="9">
        <v>56.1</v>
      </c>
      <c r="K178" s="10">
        <v>0.1011</v>
      </c>
      <c r="L178" s="9">
        <f t="shared" si="4"/>
        <v>201.71316000000002</v>
      </c>
      <c r="M178" s="9">
        <f>ROUND(L178*0.2324,2)</f>
        <v>46.88</v>
      </c>
      <c r="N178" s="9">
        <f t="shared" si="5"/>
        <v>154.83316000000002</v>
      </c>
    </row>
    <row r="179" spans="1:14" x14ac:dyDescent="0.35">
      <c r="A179" s="7" t="s">
        <v>262</v>
      </c>
      <c r="B179" s="8">
        <v>45731</v>
      </c>
      <c r="C179" s="7" t="s">
        <v>46</v>
      </c>
      <c r="D179" s="7" t="s">
        <v>40</v>
      </c>
      <c r="E179" s="7" t="s">
        <v>62</v>
      </c>
      <c r="F179" s="7" t="s">
        <v>42</v>
      </c>
      <c r="G179" s="7" t="s">
        <v>43</v>
      </c>
      <c r="H179" s="7" t="s">
        <v>95</v>
      </c>
      <c r="I179" s="7">
        <v>28</v>
      </c>
      <c r="J179" s="9">
        <v>189.57</v>
      </c>
      <c r="K179" s="10">
        <v>0.16669999999999999</v>
      </c>
      <c r="L179" s="9">
        <f t="shared" si="4"/>
        <v>4423.1230679999999</v>
      </c>
      <c r="M179" s="9">
        <f>ROUND(L179*0.6365,2)</f>
        <v>2815.32</v>
      </c>
      <c r="N179" s="9">
        <f t="shared" si="5"/>
        <v>1607.8030679999997</v>
      </c>
    </row>
    <row r="180" spans="1:14" x14ac:dyDescent="0.35">
      <c r="A180" s="7" t="s">
        <v>263</v>
      </c>
      <c r="B180" s="8">
        <v>45732</v>
      </c>
      <c r="C180" s="7" t="s">
        <v>39</v>
      </c>
      <c r="D180" s="7" t="s">
        <v>53</v>
      </c>
      <c r="E180" s="7" t="s">
        <v>81</v>
      </c>
      <c r="F180" s="7" t="s">
        <v>59</v>
      </c>
      <c r="G180" s="7" t="s">
        <v>49</v>
      </c>
      <c r="H180" s="7" t="s">
        <v>44</v>
      </c>
      <c r="I180" s="7">
        <v>7</v>
      </c>
      <c r="J180" s="9">
        <v>1040.58</v>
      </c>
      <c r="K180" s="10">
        <v>0.12470000000000001</v>
      </c>
      <c r="L180" s="9">
        <f t="shared" si="4"/>
        <v>6375.7377179999994</v>
      </c>
      <c r="M180" s="9">
        <f>ROUND(L180*0.7331,2)</f>
        <v>4674.05</v>
      </c>
      <c r="N180" s="9">
        <f t="shared" si="5"/>
        <v>1701.6877179999992</v>
      </c>
    </row>
    <row r="181" spans="1:14" x14ac:dyDescent="0.35">
      <c r="A181" s="7" t="s">
        <v>264</v>
      </c>
      <c r="B181" s="8">
        <v>45732</v>
      </c>
      <c r="C181" s="7" t="s">
        <v>52</v>
      </c>
      <c r="D181" s="7" t="s">
        <v>66</v>
      </c>
      <c r="E181" s="7" t="s">
        <v>98</v>
      </c>
      <c r="F181" s="7" t="s">
        <v>48</v>
      </c>
      <c r="G181" s="7" t="s">
        <v>49</v>
      </c>
      <c r="H181" s="7" t="s">
        <v>64</v>
      </c>
      <c r="I181" s="7">
        <v>3</v>
      </c>
      <c r="J181" s="9">
        <v>27.72</v>
      </c>
      <c r="K181" s="10">
        <v>6.6400000000000001E-2</v>
      </c>
      <c r="L181" s="9">
        <f t="shared" si="4"/>
        <v>77.638176000000001</v>
      </c>
      <c r="M181" s="9">
        <f>ROUND(L181*0.587,2)</f>
        <v>45.57</v>
      </c>
      <c r="N181" s="9">
        <f t="shared" si="5"/>
        <v>32.068176000000001</v>
      </c>
    </row>
    <row r="182" spans="1:14" x14ac:dyDescent="0.35">
      <c r="A182" s="7" t="s">
        <v>265</v>
      </c>
      <c r="B182" s="8">
        <v>45732</v>
      </c>
      <c r="C182" s="7" t="s">
        <v>46</v>
      </c>
      <c r="D182" s="7" t="s">
        <v>53</v>
      </c>
      <c r="E182" s="7" t="s">
        <v>87</v>
      </c>
      <c r="F182" s="7" t="s">
        <v>48</v>
      </c>
      <c r="G182" s="7" t="s">
        <v>49</v>
      </c>
      <c r="H182" s="7" t="s">
        <v>50</v>
      </c>
      <c r="I182" s="7">
        <v>3</v>
      </c>
      <c r="J182" s="9">
        <v>895.29</v>
      </c>
      <c r="K182" s="10">
        <v>2.9899999999999999E-2</v>
      </c>
      <c r="L182" s="9">
        <f t="shared" si="4"/>
        <v>2605.5624869999997</v>
      </c>
      <c r="M182" s="9">
        <f>ROUND(L182*0.6843,2)</f>
        <v>1782.99</v>
      </c>
      <c r="N182" s="9">
        <f t="shared" si="5"/>
        <v>822.57248699999968</v>
      </c>
    </row>
    <row r="183" spans="1:14" x14ac:dyDescent="0.35">
      <c r="A183" s="7" t="s">
        <v>266</v>
      </c>
      <c r="B183" s="8">
        <v>45733</v>
      </c>
      <c r="C183" s="7" t="s">
        <v>52</v>
      </c>
      <c r="D183" s="7" t="s">
        <v>53</v>
      </c>
      <c r="E183" s="7" t="s">
        <v>54</v>
      </c>
      <c r="F183" s="7" t="s">
        <v>42</v>
      </c>
      <c r="G183" s="7" t="s">
        <v>43</v>
      </c>
      <c r="H183" s="7" t="s">
        <v>64</v>
      </c>
      <c r="I183" s="7">
        <v>29</v>
      </c>
      <c r="J183" s="9">
        <v>1311.35</v>
      </c>
      <c r="K183" s="10">
        <v>0.23949999999999999</v>
      </c>
      <c r="L183" s="9">
        <f t="shared" si="4"/>
        <v>28921.168574999992</v>
      </c>
      <c r="M183" s="9">
        <f>ROUND(L183*0.7158,2)</f>
        <v>20701.77</v>
      </c>
      <c r="N183" s="9">
        <f t="shared" si="5"/>
        <v>8219.398574999992</v>
      </c>
    </row>
    <row r="184" spans="1:14" x14ac:dyDescent="0.35">
      <c r="A184" s="7" t="s">
        <v>267</v>
      </c>
      <c r="B184" s="8">
        <v>45733</v>
      </c>
      <c r="C184" s="7" t="s">
        <v>46</v>
      </c>
      <c r="D184" s="7" t="s">
        <v>69</v>
      </c>
      <c r="E184" s="7" t="s">
        <v>119</v>
      </c>
      <c r="F184" s="7" t="s">
        <v>48</v>
      </c>
      <c r="G184" s="7" t="s">
        <v>55</v>
      </c>
      <c r="H184" s="7" t="s">
        <v>74</v>
      </c>
      <c r="I184" s="7">
        <v>3</v>
      </c>
      <c r="J184" s="9">
        <v>198.14</v>
      </c>
      <c r="K184" s="10">
        <v>4.0800000000000003E-2</v>
      </c>
      <c r="L184" s="9">
        <f t="shared" si="4"/>
        <v>570.16766399999995</v>
      </c>
      <c r="M184" s="9">
        <f>ROUND(L184*0.2271,2)</f>
        <v>129.49</v>
      </c>
      <c r="N184" s="9">
        <f t="shared" si="5"/>
        <v>440.67766399999994</v>
      </c>
    </row>
    <row r="185" spans="1:14" x14ac:dyDescent="0.35">
      <c r="A185" s="7" t="s">
        <v>268</v>
      </c>
      <c r="B185" s="8">
        <v>45735</v>
      </c>
      <c r="C185" s="7" t="s">
        <v>46</v>
      </c>
      <c r="D185" s="7" t="s">
        <v>66</v>
      </c>
      <c r="E185" s="7" t="s">
        <v>77</v>
      </c>
      <c r="F185" s="7" t="s">
        <v>48</v>
      </c>
      <c r="G185" s="7" t="s">
        <v>55</v>
      </c>
      <c r="H185" s="7" t="s">
        <v>74</v>
      </c>
      <c r="I185" s="7">
        <v>1</v>
      </c>
      <c r="J185" s="9">
        <v>102.65</v>
      </c>
      <c r="K185" s="10">
        <v>2.6200000000000001E-2</v>
      </c>
      <c r="L185" s="9">
        <f t="shared" si="4"/>
        <v>99.960570000000004</v>
      </c>
      <c r="M185" s="9">
        <f>ROUND(L185*0.5612,2)</f>
        <v>56.1</v>
      </c>
      <c r="N185" s="9">
        <f t="shared" si="5"/>
        <v>43.860570000000003</v>
      </c>
    </row>
    <row r="186" spans="1:14" x14ac:dyDescent="0.35">
      <c r="A186" s="7" t="s">
        <v>269</v>
      </c>
      <c r="B186" s="8">
        <v>45736</v>
      </c>
      <c r="C186" s="7" t="s">
        <v>46</v>
      </c>
      <c r="D186" s="7" t="s">
        <v>69</v>
      </c>
      <c r="E186" s="7" t="s">
        <v>107</v>
      </c>
      <c r="F186" s="7" t="s">
        <v>42</v>
      </c>
      <c r="G186" s="7" t="s">
        <v>43</v>
      </c>
      <c r="H186" s="7" t="s">
        <v>50</v>
      </c>
      <c r="I186" s="7">
        <v>14</v>
      </c>
      <c r="J186" s="9">
        <v>57.5</v>
      </c>
      <c r="K186" s="10">
        <v>0.13830000000000001</v>
      </c>
      <c r="L186" s="9">
        <f t="shared" si="4"/>
        <v>693.66849999999999</v>
      </c>
      <c r="M186" s="9">
        <f>ROUND(L186*0.2537,2)</f>
        <v>175.98</v>
      </c>
      <c r="N186" s="9">
        <f t="shared" si="5"/>
        <v>517.68849999999998</v>
      </c>
    </row>
    <row r="187" spans="1:14" x14ac:dyDescent="0.35">
      <c r="A187" s="7" t="s">
        <v>270</v>
      </c>
      <c r="B187" s="8">
        <v>45736</v>
      </c>
      <c r="C187" s="7" t="s">
        <v>52</v>
      </c>
      <c r="D187" s="7" t="s">
        <v>40</v>
      </c>
      <c r="E187" s="7" t="s">
        <v>47</v>
      </c>
      <c r="F187" s="7" t="s">
        <v>59</v>
      </c>
      <c r="G187" s="7" t="s">
        <v>43</v>
      </c>
      <c r="H187" s="7" t="s">
        <v>64</v>
      </c>
      <c r="I187" s="7">
        <v>4</v>
      </c>
      <c r="J187" s="9">
        <v>237.98</v>
      </c>
      <c r="K187" s="10">
        <v>0.13500000000000001</v>
      </c>
      <c r="L187" s="9">
        <f t="shared" si="4"/>
        <v>823.41079999999999</v>
      </c>
      <c r="M187" s="9">
        <f>ROUND(L187*0.6351,2)</f>
        <v>522.95000000000005</v>
      </c>
      <c r="N187" s="9">
        <f t="shared" si="5"/>
        <v>300.46079999999995</v>
      </c>
    </row>
    <row r="188" spans="1:14" x14ac:dyDescent="0.35">
      <c r="A188" s="7" t="s">
        <v>271</v>
      </c>
      <c r="B188" s="8">
        <v>45737</v>
      </c>
      <c r="C188" s="7" t="s">
        <v>46</v>
      </c>
      <c r="D188" s="7" t="s">
        <v>53</v>
      </c>
      <c r="E188" s="7" t="s">
        <v>87</v>
      </c>
      <c r="F188" s="7" t="s">
        <v>48</v>
      </c>
      <c r="G188" s="7" t="s">
        <v>55</v>
      </c>
      <c r="H188" s="7" t="s">
        <v>74</v>
      </c>
      <c r="I188" s="7">
        <v>1</v>
      </c>
      <c r="J188" s="9">
        <v>912.03</v>
      </c>
      <c r="K188" s="10">
        <v>5.3499999999999999E-2</v>
      </c>
      <c r="L188" s="9">
        <f t="shared" si="4"/>
        <v>863.23639500000002</v>
      </c>
      <c r="M188" s="9">
        <f>ROUND(L188*0.7379,2)</f>
        <v>636.98</v>
      </c>
      <c r="N188" s="9">
        <f t="shared" si="5"/>
        <v>226.256395</v>
      </c>
    </row>
    <row r="189" spans="1:14" x14ac:dyDescent="0.35">
      <c r="A189" s="7" t="s">
        <v>272</v>
      </c>
      <c r="B189" s="8">
        <v>45737</v>
      </c>
      <c r="C189" s="7" t="s">
        <v>76</v>
      </c>
      <c r="D189" s="7" t="s">
        <v>40</v>
      </c>
      <c r="E189" s="7" t="s">
        <v>47</v>
      </c>
      <c r="F189" s="7" t="s">
        <v>59</v>
      </c>
      <c r="G189" s="7" t="s">
        <v>55</v>
      </c>
      <c r="H189" s="7" t="s">
        <v>78</v>
      </c>
      <c r="I189" s="7">
        <v>7</v>
      </c>
      <c r="J189" s="9">
        <v>248.66</v>
      </c>
      <c r="K189" s="10">
        <v>7.46E-2</v>
      </c>
      <c r="L189" s="9">
        <f t="shared" si="4"/>
        <v>1610.7697479999999</v>
      </c>
      <c r="M189" s="9">
        <f>ROUND(L189*0.6511,2)</f>
        <v>1048.77</v>
      </c>
      <c r="N189" s="9">
        <f t="shared" si="5"/>
        <v>561.99974799999995</v>
      </c>
    </row>
    <row r="190" spans="1:14" x14ac:dyDescent="0.35">
      <c r="A190" s="7" t="s">
        <v>273</v>
      </c>
      <c r="B190" s="8">
        <v>45738</v>
      </c>
      <c r="C190" s="7" t="s">
        <v>52</v>
      </c>
      <c r="D190" s="7" t="s">
        <v>69</v>
      </c>
      <c r="E190" s="7" t="s">
        <v>113</v>
      </c>
      <c r="F190" s="7" t="s">
        <v>48</v>
      </c>
      <c r="G190" s="7" t="s">
        <v>49</v>
      </c>
      <c r="H190" s="7" t="s">
        <v>71</v>
      </c>
      <c r="I190" s="7">
        <v>3</v>
      </c>
      <c r="J190" s="9">
        <v>235.38</v>
      </c>
      <c r="K190" s="10">
        <v>8.7300000000000003E-2</v>
      </c>
      <c r="L190" s="9">
        <f t="shared" si="4"/>
        <v>644.49397799999997</v>
      </c>
      <c r="M190" s="9">
        <f>ROUND(L190*0.236,2)</f>
        <v>152.1</v>
      </c>
      <c r="N190" s="9">
        <f t="shared" si="5"/>
        <v>492.39397799999995</v>
      </c>
    </row>
    <row r="191" spans="1:14" x14ac:dyDescent="0.35">
      <c r="A191" s="7" t="s">
        <v>274</v>
      </c>
      <c r="B191" s="8">
        <v>45738</v>
      </c>
      <c r="C191" s="7" t="s">
        <v>52</v>
      </c>
      <c r="D191" s="7" t="s">
        <v>53</v>
      </c>
      <c r="E191" s="7" t="s">
        <v>105</v>
      </c>
      <c r="F191" s="7" t="s">
        <v>48</v>
      </c>
      <c r="G191" s="7" t="s">
        <v>49</v>
      </c>
      <c r="H191" s="7" t="s">
        <v>83</v>
      </c>
      <c r="I191" s="7">
        <v>3</v>
      </c>
      <c r="J191" s="9">
        <v>430.04</v>
      </c>
      <c r="K191" s="10">
        <v>4.8099999999999997E-2</v>
      </c>
      <c r="L191" s="9">
        <f t="shared" si="4"/>
        <v>1228.0652280000002</v>
      </c>
      <c r="M191" s="9">
        <f>ROUND(L191*0.7263,2)</f>
        <v>891.94</v>
      </c>
      <c r="N191" s="9">
        <f t="shared" si="5"/>
        <v>336.12522800000011</v>
      </c>
    </row>
    <row r="192" spans="1:14" x14ac:dyDescent="0.35">
      <c r="A192" s="7" t="s">
        <v>275</v>
      </c>
      <c r="B192" s="8">
        <v>45738</v>
      </c>
      <c r="C192" s="7" t="s">
        <v>76</v>
      </c>
      <c r="D192" s="7" t="s">
        <v>40</v>
      </c>
      <c r="E192" s="7" t="s">
        <v>139</v>
      </c>
      <c r="F192" s="7" t="s">
        <v>42</v>
      </c>
      <c r="G192" s="7" t="s">
        <v>43</v>
      </c>
      <c r="H192" s="7" t="s">
        <v>110</v>
      </c>
      <c r="I192" s="7">
        <v>26</v>
      </c>
      <c r="J192" s="9">
        <v>332.51</v>
      </c>
      <c r="K192" s="10">
        <v>0.20530000000000001</v>
      </c>
      <c r="L192" s="9">
        <f t="shared" si="4"/>
        <v>6870.3881220000003</v>
      </c>
      <c r="M192" s="9">
        <f>ROUND(L192*0.6527,2)</f>
        <v>4484.3</v>
      </c>
      <c r="N192" s="9">
        <f t="shared" si="5"/>
        <v>2386.0881220000001</v>
      </c>
    </row>
    <row r="193" spans="1:14" x14ac:dyDescent="0.35">
      <c r="A193" s="7" t="s">
        <v>276</v>
      </c>
      <c r="B193" s="8">
        <v>45739</v>
      </c>
      <c r="C193" s="7" t="s">
        <v>46</v>
      </c>
      <c r="D193" s="7" t="s">
        <v>66</v>
      </c>
      <c r="E193" s="7" t="s">
        <v>67</v>
      </c>
      <c r="F193" s="7" t="s">
        <v>42</v>
      </c>
      <c r="G193" s="7" t="s">
        <v>55</v>
      </c>
      <c r="H193" s="7" t="s">
        <v>74</v>
      </c>
      <c r="I193" s="7">
        <v>16</v>
      </c>
      <c r="J193" s="9">
        <v>90.86</v>
      </c>
      <c r="K193" s="10">
        <v>0.1108</v>
      </c>
      <c r="L193" s="9">
        <f t="shared" si="4"/>
        <v>1292.6833919999999</v>
      </c>
      <c r="M193" s="9">
        <f>ROUND(L193*0.5564,2)</f>
        <v>719.25</v>
      </c>
      <c r="N193" s="9">
        <f t="shared" si="5"/>
        <v>573.43339199999991</v>
      </c>
    </row>
    <row r="194" spans="1:14" x14ac:dyDescent="0.35">
      <c r="A194" s="7" t="s">
        <v>277</v>
      </c>
      <c r="B194" s="8">
        <v>45739</v>
      </c>
      <c r="C194" s="7" t="s">
        <v>76</v>
      </c>
      <c r="D194" s="7" t="s">
        <v>40</v>
      </c>
      <c r="E194" s="7" t="s">
        <v>62</v>
      </c>
      <c r="F194" s="7" t="s">
        <v>42</v>
      </c>
      <c r="G194" s="7" t="s">
        <v>43</v>
      </c>
      <c r="H194" s="7" t="s">
        <v>110</v>
      </c>
      <c r="I194" s="7">
        <v>35</v>
      </c>
      <c r="J194" s="9">
        <v>195.15</v>
      </c>
      <c r="K194" s="10">
        <v>0.18779999999999999</v>
      </c>
      <c r="L194" s="9">
        <f t="shared" ref="L194:L257" si="6">I194*J194*(1-K194)</f>
        <v>5547.5290500000001</v>
      </c>
      <c r="M194" s="9">
        <f>ROUND(L194*0.6285,2)</f>
        <v>3486.62</v>
      </c>
      <c r="N194" s="9">
        <f t="shared" ref="N194:N257" si="7">L194-M194</f>
        <v>2060.9090500000002</v>
      </c>
    </row>
    <row r="195" spans="1:14" x14ac:dyDescent="0.35">
      <c r="A195" s="7" t="s">
        <v>278</v>
      </c>
      <c r="B195" s="8">
        <v>45739</v>
      </c>
      <c r="C195" s="7" t="s">
        <v>52</v>
      </c>
      <c r="D195" s="7" t="s">
        <v>66</v>
      </c>
      <c r="E195" s="7" t="s">
        <v>137</v>
      </c>
      <c r="F195" s="7" t="s">
        <v>59</v>
      </c>
      <c r="G195" s="7" t="s">
        <v>49</v>
      </c>
      <c r="H195" s="7" t="s">
        <v>71</v>
      </c>
      <c r="I195" s="7">
        <v>5</v>
      </c>
      <c r="J195" s="9">
        <v>160.06</v>
      </c>
      <c r="K195" s="10">
        <v>9.2799999999999994E-2</v>
      </c>
      <c r="L195" s="9">
        <f t="shared" si="6"/>
        <v>726.03215999999998</v>
      </c>
      <c r="M195" s="9">
        <f>ROUND(L195*0.577,2)</f>
        <v>418.92</v>
      </c>
      <c r="N195" s="9">
        <f t="shared" si="7"/>
        <v>307.11215999999996</v>
      </c>
    </row>
    <row r="196" spans="1:14" x14ac:dyDescent="0.35">
      <c r="A196" s="7" t="s">
        <v>279</v>
      </c>
      <c r="B196" s="8">
        <v>45739</v>
      </c>
      <c r="C196" s="7" t="s">
        <v>52</v>
      </c>
      <c r="D196" s="7" t="s">
        <v>53</v>
      </c>
      <c r="E196" s="7" t="s">
        <v>81</v>
      </c>
      <c r="F196" s="7" t="s">
        <v>59</v>
      </c>
      <c r="G196" s="7" t="s">
        <v>55</v>
      </c>
      <c r="H196" s="7" t="s">
        <v>56</v>
      </c>
      <c r="I196" s="7">
        <v>6</v>
      </c>
      <c r="J196" s="9">
        <v>1070.47</v>
      </c>
      <c r="K196" s="10">
        <v>6.4299999999999996E-2</v>
      </c>
      <c r="L196" s="9">
        <f t="shared" si="6"/>
        <v>6009.8326739999993</v>
      </c>
      <c r="M196" s="9">
        <f>ROUND(L196*0.7338,2)</f>
        <v>4410.0200000000004</v>
      </c>
      <c r="N196" s="9">
        <f t="shared" si="7"/>
        <v>1599.8126739999989</v>
      </c>
    </row>
    <row r="197" spans="1:14" x14ac:dyDescent="0.35">
      <c r="A197" s="7" t="s">
        <v>280</v>
      </c>
      <c r="B197" s="8">
        <v>45740</v>
      </c>
      <c r="C197" s="7" t="s">
        <v>46</v>
      </c>
      <c r="D197" s="7" t="s">
        <v>53</v>
      </c>
      <c r="E197" s="7" t="s">
        <v>58</v>
      </c>
      <c r="F197" s="7" t="s">
        <v>59</v>
      </c>
      <c r="G197" s="7" t="s">
        <v>49</v>
      </c>
      <c r="H197" s="7" t="s">
        <v>95</v>
      </c>
      <c r="I197" s="7">
        <v>6</v>
      </c>
      <c r="J197" s="9">
        <v>666.04</v>
      </c>
      <c r="K197" s="10">
        <v>5.3400000000000003E-2</v>
      </c>
      <c r="L197" s="9">
        <f t="shared" si="6"/>
        <v>3782.840784</v>
      </c>
      <c r="M197" s="9">
        <f>ROUND(L197*0.7365,2)</f>
        <v>2786.06</v>
      </c>
      <c r="N197" s="9">
        <f t="shared" si="7"/>
        <v>996.78078400000004</v>
      </c>
    </row>
    <row r="198" spans="1:14" x14ac:dyDescent="0.35">
      <c r="A198" s="7" t="s">
        <v>281</v>
      </c>
      <c r="B198" s="8">
        <v>45740</v>
      </c>
      <c r="C198" s="7" t="s">
        <v>46</v>
      </c>
      <c r="D198" s="7" t="s">
        <v>69</v>
      </c>
      <c r="E198" s="7" t="s">
        <v>107</v>
      </c>
      <c r="F198" s="7" t="s">
        <v>48</v>
      </c>
      <c r="G198" s="7" t="s">
        <v>55</v>
      </c>
      <c r="H198" s="7" t="s">
        <v>74</v>
      </c>
      <c r="I198" s="7">
        <v>2</v>
      </c>
      <c r="J198" s="9">
        <v>57.74</v>
      </c>
      <c r="K198" s="10">
        <v>4.5499999999999999E-2</v>
      </c>
      <c r="L198" s="9">
        <f t="shared" si="6"/>
        <v>110.22566</v>
      </c>
      <c r="M198" s="9">
        <f>ROUND(L198*0.2679,2)</f>
        <v>29.53</v>
      </c>
      <c r="N198" s="9">
        <f t="shared" si="7"/>
        <v>80.695660000000004</v>
      </c>
    </row>
    <row r="199" spans="1:14" x14ac:dyDescent="0.35">
      <c r="A199" s="7" t="s">
        <v>282</v>
      </c>
      <c r="B199" s="8">
        <v>45740</v>
      </c>
      <c r="C199" s="7" t="s">
        <v>52</v>
      </c>
      <c r="D199" s="7" t="s">
        <v>69</v>
      </c>
      <c r="E199" s="7" t="s">
        <v>119</v>
      </c>
      <c r="F199" s="7" t="s">
        <v>48</v>
      </c>
      <c r="G199" s="7" t="s">
        <v>55</v>
      </c>
      <c r="H199" s="7" t="s">
        <v>56</v>
      </c>
      <c r="I199" s="7">
        <v>3</v>
      </c>
      <c r="J199" s="9">
        <v>195.72</v>
      </c>
      <c r="K199" s="10">
        <v>4.1799999999999997E-2</v>
      </c>
      <c r="L199" s="9">
        <f t="shared" si="6"/>
        <v>562.61671200000001</v>
      </c>
      <c r="M199" s="9">
        <f>ROUND(L199*0.2297,2)</f>
        <v>129.22999999999999</v>
      </c>
      <c r="N199" s="9">
        <f t="shared" si="7"/>
        <v>433.38671199999999</v>
      </c>
    </row>
    <row r="200" spans="1:14" x14ac:dyDescent="0.35">
      <c r="A200" s="7" t="s">
        <v>283</v>
      </c>
      <c r="B200" s="8">
        <v>45740</v>
      </c>
      <c r="C200" s="7" t="s">
        <v>76</v>
      </c>
      <c r="D200" s="7" t="s">
        <v>53</v>
      </c>
      <c r="E200" s="7" t="s">
        <v>54</v>
      </c>
      <c r="F200" s="7" t="s">
        <v>42</v>
      </c>
      <c r="G200" s="7" t="s">
        <v>43</v>
      </c>
      <c r="H200" s="7" t="s">
        <v>110</v>
      </c>
      <c r="I200" s="7">
        <v>13</v>
      </c>
      <c r="J200" s="9">
        <v>1281.45</v>
      </c>
      <c r="K200" s="10">
        <v>0.16059999999999999</v>
      </c>
      <c r="L200" s="9">
        <f t="shared" si="6"/>
        <v>13983.438690000003</v>
      </c>
      <c r="M200" s="9">
        <f>ROUND(L200*0.701,2)</f>
        <v>9802.39</v>
      </c>
      <c r="N200" s="9">
        <f t="shared" si="7"/>
        <v>4181.0486900000033</v>
      </c>
    </row>
    <row r="201" spans="1:14" x14ac:dyDescent="0.35">
      <c r="A201" s="7" t="s">
        <v>284</v>
      </c>
      <c r="B201" s="8">
        <v>45740</v>
      </c>
      <c r="C201" s="7" t="s">
        <v>46</v>
      </c>
      <c r="D201" s="7" t="s">
        <v>40</v>
      </c>
      <c r="E201" s="7" t="s">
        <v>62</v>
      </c>
      <c r="F201" s="7" t="s">
        <v>59</v>
      </c>
      <c r="G201" s="7" t="s">
        <v>43</v>
      </c>
      <c r="H201" s="7" t="s">
        <v>95</v>
      </c>
      <c r="I201" s="7">
        <v>5</v>
      </c>
      <c r="J201" s="9">
        <v>200.17</v>
      </c>
      <c r="K201" s="10">
        <v>0.1227</v>
      </c>
      <c r="L201" s="9">
        <f t="shared" si="6"/>
        <v>878.04570499999988</v>
      </c>
      <c r="M201" s="9">
        <f>ROUND(L201*0.6688,2)</f>
        <v>587.24</v>
      </c>
      <c r="N201" s="9">
        <f t="shared" si="7"/>
        <v>290.80570499999988</v>
      </c>
    </row>
    <row r="202" spans="1:14" x14ac:dyDescent="0.35">
      <c r="A202" s="7" t="s">
        <v>285</v>
      </c>
      <c r="B202" s="8">
        <v>45741</v>
      </c>
      <c r="C202" s="7" t="s">
        <v>39</v>
      </c>
      <c r="D202" s="7" t="s">
        <v>53</v>
      </c>
      <c r="E202" s="7" t="s">
        <v>58</v>
      </c>
      <c r="F202" s="7" t="s">
        <v>48</v>
      </c>
      <c r="G202" s="7" t="s">
        <v>55</v>
      </c>
      <c r="H202" s="7" t="s">
        <v>108</v>
      </c>
      <c r="I202" s="7">
        <v>1</v>
      </c>
      <c r="J202" s="9">
        <v>691.31</v>
      </c>
      <c r="K202" s="10">
        <v>4.9799999999999997E-2</v>
      </c>
      <c r="L202" s="9">
        <f t="shared" si="6"/>
        <v>656.88276199999996</v>
      </c>
      <c r="M202" s="9">
        <f>ROUND(L202*0.7032,2)</f>
        <v>461.92</v>
      </c>
      <c r="N202" s="9">
        <f t="shared" si="7"/>
        <v>194.96276199999994</v>
      </c>
    </row>
    <row r="203" spans="1:14" x14ac:dyDescent="0.35">
      <c r="A203" s="7" t="s">
        <v>286</v>
      </c>
      <c r="B203" s="8">
        <v>45742</v>
      </c>
      <c r="C203" s="7" t="s">
        <v>46</v>
      </c>
      <c r="D203" s="7" t="s">
        <v>53</v>
      </c>
      <c r="E203" s="7" t="s">
        <v>87</v>
      </c>
      <c r="F203" s="7" t="s">
        <v>59</v>
      </c>
      <c r="G203" s="7" t="s">
        <v>49</v>
      </c>
      <c r="H203" s="7" t="s">
        <v>95</v>
      </c>
      <c r="I203" s="7">
        <v>7</v>
      </c>
      <c r="J203" s="9">
        <v>891.43</v>
      </c>
      <c r="K203" s="10">
        <v>9.4700000000000006E-2</v>
      </c>
      <c r="L203" s="9">
        <f t="shared" si="6"/>
        <v>5649.081052999999</v>
      </c>
      <c r="M203" s="9">
        <f>ROUND(L203*0.7051,2)</f>
        <v>3983.17</v>
      </c>
      <c r="N203" s="9">
        <f t="shared" si="7"/>
        <v>1665.9110529999989</v>
      </c>
    </row>
    <row r="204" spans="1:14" x14ac:dyDescent="0.35">
      <c r="A204" s="7" t="s">
        <v>287</v>
      </c>
      <c r="B204" s="8">
        <v>45743</v>
      </c>
      <c r="C204" s="7" t="s">
        <v>46</v>
      </c>
      <c r="D204" s="7" t="s">
        <v>40</v>
      </c>
      <c r="E204" s="7" t="s">
        <v>62</v>
      </c>
      <c r="F204" s="7" t="s">
        <v>48</v>
      </c>
      <c r="G204" s="7" t="s">
        <v>55</v>
      </c>
      <c r="H204" s="7" t="s">
        <v>74</v>
      </c>
      <c r="I204" s="7">
        <v>1</v>
      </c>
      <c r="J204" s="9">
        <v>206.67</v>
      </c>
      <c r="K204" s="10">
        <v>2.3099999999999999E-2</v>
      </c>
      <c r="L204" s="9">
        <f t="shared" si="6"/>
        <v>201.89592299999998</v>
      </c>
      <c r="M204" s="9">
        <f>ROUND(L204*0.6661,2)</f>
        <v>134.47999999999999</v>
      </c>
      <c r="N204" s="9">
        <f t="shared" si="7"/>
        <v>67.415922999999992</v>
      </c>
    </row>
    <row r="205" spans="1:14" x14ac:dyDescent="0.35">
      <c r="A205" s="7" t="s">
        <v>288</v>
      </c>
      <c r="B205" s="8">
        <v>45743</v>
      </c>
      <c r="C205" s="7" t="s">
        <v>76</v>
      </c>
      <c r="D205" s="7" t="s">
        <v>53</v>
      </c>
      <c r="E205" s="7" t="s">
        <v>87</v>
      </c>
      <c r="F205" s="7" t="s">
        <v>42</v>
      </c>
      <c r="G205" s="7" t="s">
        <v>49</v>
      </c>
      <c r="H205" s="7" t="s">
        <v>110</v>
      </c>
      <c r="I205" s="7">
        <v>23</v>
      </c>
      <c r="J205" s="9">
        <v>854.06</v>
      </c>
      <c r="K205" s="10">
        <v>0.14580000000000001</v>
      </c>
      <c r="L205" s="9">
        <f t="shared" si="6"/>
        <v>16779.375195999997</v>
      </c>
      <c r="M205" s="9">
        <f>ROUND(L205*0.7119,2)</f>
        <v>11945.24</v>
      </c>
      <c r="N205" s="9">
        <f t="shared" si="7"/>
        <v>4834.1351959999974</v>
      </c>
    </row>
    <row r="206" spans="1:14" x14ac:dyDescent="0.35">
      <c r="A206" s="7" t="s">
        <v>289</v>
      </c>
      <c r="B206" s="8">
        <v>45743</v>
      </c>
      <c r="C206" s="7" t="s">
        <v>52</v>
      </c>
      <c r="D206" s="7" t="s">
        <v>53</v>
      </c>
      <c r="E206" s="7" t="s">
        <v>81</v>
      </c>
      <c r="F206" s="7" t="s">
        <v>48</v>
      </c>
      <c r="G206" s="7" t="s">
        <v>55</v>
      </c>
      <c r="H206" s="7" t="s">
        <v>56</v>
      </c>
      <c r="I206" s="7">
        <v>2</v>
      </c>
      <c r="J206" s="9">
        <v>1117.3499999999999</v>
      </c>
      <c r="K206" s="10">
        <v>7.1400000000000005E-2</v>
      </c>
      <c r="L206" s="9">
        <f t="shared" si="6"/>
        <v>2075.1424199999997</v>
      </c>
      <c r="M206" s="9">
        <f>ROUND(L206*0.7289,2)</f>
        <v>1512.57</v>
      </c>
      <c r="N206" s="9">
        <f t="shared" si="7"/>
        <v>562.57241999999974</v>
      </c>
    </row>
    <row r="207" spans="1:14" x14ac:dyDescent="0.35">
      <c r="A207" s="7" t="s">
        <v>290</v>
      </c>
      <c r="B207" s="8">
        <v>45744</v>
      </c>
      <c r="C207" s="7" t="s">
        <v>46</v>
      </c>
      <c r="D207" s="7" t="s">
        <v>69</v>
      </c>
      <c r="E207" s="7" t="s">
        <v>132</v>
      </c>
      <c r="F207" s="7" t="s">
        <v>59</v>
      </c>
      <c r="G207" s="7" t="s">
        <v>49</v>
      </c>
      <c r="H207" s="7" t="s">
        <v>50</v>
      </c>
      <c r="I207" s="7">
        <v>8</v>
      </c>
      <c r="J207" s="9">
        <v>77.09</v>
      </c>
      <c r="K207" s="10">
        <v>0.125</v>
      </c>
      <c r="L207" s="9">
        <f t="shared" si="6"/>
        <v>539.63</v>
      </c>
      <c r="M207" s="9">
        <f>ROUND(L207*0.2526,2)</f>
        <v>136.31</v>
      </c>
      <c r="N207" s="9">
        <f t="shared" si="7"/>
        <v>403.32</v>
      </c>
    </row>
    <row r="208" spans="1:14" x14ac:dyDescent="0.35">
      <c r="A208" s="7" t="s">
        <v>291</v>
      </c>
      <c r="B208" s="8">
        <v>45744</v>
      </c>
      <c r="C208" s="7" t="s">
        <v>39</v>
      </c>
      <c r="D208" s="7" t="s">
        <v>66</v>
      </c>
      <c r="E208" s="7" t="s">
        <v>98</v>
      </c>
      <c r="F208" s="7" t="s">
        <v>48</v>
      </c>
      <c r="G208" s="7" t="s">
        <v>49</v>
      </c>
      <c r="H208" s="7" t="s">
        <v>60</v>
      </c>
      <c r="I208" s="7">
        <v>2</v>
      </c>
      <c r="J208" s="9">
        <v>29.04</v>
      </c>
      <c r="K208" s="10">
        <v>3.8800000000000001E-2</v>
      </c>
      <c r="L208" s="9">
        <f t="shared" si="6"/>
        <v>55.826495999999999</v>
      </c>
      <c r="M208" s="9">
        <f>ROUND(L208*0.5762,2)</f>
        <v>32.17</v>
      </c>
      <c r="N208" s="9">
        <f t="shared" si="7"/>
        <v>23.656495999999997</v>
      </c>
    </row>
    <row r="209" spans="1:14" x14ac:dyDescent="0.35">
      <c r="A209" s="7" t="s">
        <v>292</v>
      </c>
      <c r="B209" s="8">
        <v>45744</v>
      </c>
      <c r="C209" s="7" t="s">
        <v>46</v>
      </c>
      <c r="D209" s="7" t="s">
        <v>69</v>
      </c>
      <c r="E209" s="7" t="s">
        <v>70</v>
      </c>
      <c r="F209" s="7" t="s">
        <v>42</v>
      </c>
      <c r="G209" s="7" t="s">
        <v>43</v>
      </c>
      <c r="H209" s="7" t="s">
        <v>50</v>
      </c>
      <c r="I209" s="7">
        <v>31</v>
      </c>
      <c r="J209" s="9">
        <v>145.28</v>
      </c>
      <c r="K209" s="10">
        <v>0.21959999999999999</v>
      </c>
      <c r="L209" s="9">
        <f t="shared" si="6"/>
        <v>3514.6718720000003</v>
      </c>
      <c r="M209" s="9">
        <f>ROUND(L209*0.2364,2)</f>
        <v>830.87</v>
      </c>
      <c r="N209" s="9">
        <f t="shared" si="7"/>
        <v>2683.8018720000005</v>
      </c>
    </row>
    <row r="210" spans="1:14" x14ac:dyDescent="0.35">
      <c r="A210" s="7" t="s">
        <v>293</v>
      </c>
      <c r="B210" s="8">
        <v>45745</v>
      </c>
      <c r="C210" s="7" t="s">
        <v>46</v>
      </c>
      <c r="D210" s="7" t="s">
        <v>66</v>
      </c>
      <c r="E210" s="7" t="s">
        <v>73</v>
      </c>
      <c r="F210" s="7" t="s">
        <v>42</v>
      </c>
      <c r="G210" s="7" t="s">
        <v>43</v>
      </c>
      <c r="H210" s="7" t="s">
        <v>50</v>
      </c>
      <c r="I210" s="7">
        <v>15</v>
      </c>
      <c r="J210" s="9">
        <v>37.700000000000003</v>
      </c>
      <c r="K210" s="10">
        <v>0.18559999999999999</v>
      </c>
      <c r="L210" s="9">
        <f t="shared" si="6"/>
        <v>460.54320000000001</v>
      </c>
      <c r="M210" s="9">
        <f>ROUND(L210*0.5889,2)</f>
        <v>271.20999999999998</v>
      </c>
      <c r="N210" s="9">
        <f t="shared" si="7"/>
        <v>189.33320000000003</v>
      </c>
    </row>
    <row r="211" spans="1:14" x14ac:dyDescent="0.35">
      <c r="A211" s="7" t="s">
        <v>294</v>
      </c>
      <c r="B211" s="8">
        <v>45746</v>
      </c>
      <c r="C211" s="7" t="s">
        <v>39</v>
      </c>
      <c r="D211" s="7" t="s">
        <v>53</v>
      </c>
      <c r="E211" s="7" t="s">
        <v>105</v>
      </c>
      <c r="F211" s="7" t="s">
        <v>59</v>
      </c>
      <c r="G211" s="7" t="s">
        <v>49</v>
      </c>
      <c r="H211" s="7" t="s">
        <v>60</v>
      </c>
      <c r="I211" s="7">
        <v>7</v>
      </c>
      <c r="J211" s="9">
        <v>440.8</v>
      </c>
      <c r="K211" s="10">
        <v>0.1159</v>
      </c>
      <c r="L211" s="9">
        <f t="shared" si="6"/>
        <v>2727.9789599999999</v>
      </c>
      <c r="M211" s="9">
        <f>ROUND(L211*0.705,2)</f>
        <v>1923.23</v>
      </c>
      <c r="N211" s="9">
        <f t="shared" si="7"/>
        <v>804.7489599999999</v>
      </c>
    </row>
    <row r="212" spans="1:14" x14ac:dyDescent="0.35">
      <c r="A212" s="7" t="s">
        <v>295</v>
      </c>
      <c r="B212" s="8">
        <v>45746</v>
      </c>
      <c r="C212" s="7" t="s">
        <v>76</v>
      </c>
      <c r="D212" s="7" t="s">
        <v>40</v>
      </c>
      <c r="E212" s="7" t="s">
        <v>62</v>
      </c>
      <c r="F212" s="7" t="s">
        <v>42</v>
      </c>
      <c r="G212" s="7" t="s">
        <v>43</v>
      </c>
      <c r="H212" s="7" t="s">
        <v>151</v>
      </c>
      <c r="I212" s="7">
        <v>18</v>
      </c>
      <c r="J212" s="9">
        <v>192.25</v>
      </c>
      <c r="K212" s="10">
        <v>0.21129999999999999</v>
      </c>
      <c r="L212" s="9">
        <f t="shared" si="6"/>
        <v>2729.2963500000001</v>
      </c>
      <c r="M212" s="9">
        <f>ROUND(L212*0.6308,2)</f>
        <v>1721.64</v>
      </c>
      <c r="N212" s="9">
        <f t="shared" si="7"/>
        <v>1007.65635</v>
      </c>
    </row>
    <row r="213" spans="1:14" x14ac:dyDescent="0.35">
      <c r="A213" s="7" t="s">
        <v>296</v>
      </c>
      <c r="B213" s="8">
        <v>45746</v>
      </c>
      <c r="C213" s="7" t="s">
        <v>46</v>
      </c>
      <c r="D213" s="7" t="s">
        <v>69</v>
      </c>
      <c r="E213" s="7" t="s">
        <v>70</v>
      </c>
      <c r="F213" s="7" t="s">
        <v>48</v>
      </c>
      <c r="G213" s="7" t="s">
        <v>49</v>
      </c>
      <c r="H213" s="7" t="s">
        <v>50</v>
      </c>
      <c r="I213" s="7">
        <v>1</v>
      </c>
      <c r="J213" s="9">
        <v>147.91</v>
      </c>
      <c r="K213" s="10">
        <v>3.32E-2</v>
      </c>
      <c r="L213" s="9">
        <f t="shared" si="6"/>
        <v>142.99938799999998</v>
      </c>
      <c r="M213" s="9">
        <f>ROUND(L213*0.2396,2)</f>
        <v>34.26</v>
      </c>
      <c r="N213" s="9">
        <f t="shared" si="7"/>
        <v>108.73938799999999</v>
      </c>
    </row>
    <row r="214" spans="1:14" x14ac:dyDescent="0.35">
      <c r="A214" s="7" t="s">
        <v>297</v>
      </c>
      <c r="B214" s="8">
        <v>45746</v>
      </c>
      <c r="C214" s="7" t="s">
        <v>52</v>
      </c>
      <c r="D214" s="7" t="s">
        <v>40</v>
      </c>
      <c r="E214" s="7" t="s">
        <v>47</v>
      </c>
      <c r="F214" s="7" t="s">
        <v>48</v>
      </c>
      <c r="G214" s="7" t="s">
        <v>55</v>
      </c>
      <c r="H214" s="7" t="s">
        <v>56</v>
      </c>
      <c r="I214" s="7">
        <v>2</v>
      </c>
      <c r="J214" s="9">
        <v>252</v>
      </c>
      <c r="K214" s="10">
        <v>7.4899999999999994E-2</v>
      </c>
      <c r="L214" s="9">
        <f t="shared" si="6"/>
        <v>466.25040000000001</v>
      </c>
      <c r="M214" s="9">
        <f>ROUND(L214*0.6272,2)</f>
        <v>292.43</v>
      </c>
      <c r="N214" s="9">
        <f t="shared" si="7"/>
        <v>173.82040000000001</v>
      </c>
    </row>
    <row r="215" spans="1:14" x14ac:dyDescent="0.35">
      <c r="A215" s="7" t="s">
        <v>298</v>
      </c>
      <c r="B215" s="8">
        <v>45746</v>
      </c>
      <c r="C215" s="7" t="s">
        <v>39</v>
      </c>
      <c r="D215" s="7" t="s">
        <v>53</v>
      </c>
      <c r="E215" s="7" t="s">
        <v>87</v>
      </c>
      <c r="F215" s="7" t="s">
        <v>59</v>
      </c>
      <c r="G215" s="7" t="s">
        <v>43</v>
      </c>
      <c r="H215" s="7" t="s">
        <v>60</v>
      </c>
      <c r="I215" s="7">
        <v>5</v>
      </c>
      <c r="J215" s="9">
        <v>909.12</v>
      </c>
      <c r="K215" s="10">
        <v>0.1101</v>
      </c>
      <c r="L215" s="9">
        <f t="shared" si="6"/>
        <v>4045.1294400000006</v>
      </c>
      <c r="M215" s="9">
        <f>ROUND(L215*0.6853,2)</f>
        <v>2772.13</v>
      </c>
      <c r="N215" s="9">
        <f t="shared" si="7"/>
        <v>1272.9994400000005</v>
      </c>
    </row>
    <row r="216" spans="1:14" x14ac:dyDescent="0.35">
      <c r="A216" s="7" t="s">
        <v>299</v>
      </c>
      <c r="B216" s="8">
        <v>45747</v>
      </c>
      <c r="C216" s="7" t="s">
        <v>39</v>
      </c>
      <c r="D216" s="7" t="s">
        <v>69</v>
      </c>
      <c r="E216" s="7" t="s">
        <v>107</v>
      </c>
      <c r="F216" s="7" t="s">
        <v>59</v>
      </c>
      <c r="G216" s="7" t="s">
        <v>49</v>
      </c>
      <c r="H216" s="7" t="s">
        <v>60</v>
      </c>
      <c r="I216" s="7">
        <v>9</v>
      </c>
      <c r="J216" s="9">
        <v>57.89</v>
      </c>
      <c r="K216" s="10">
        <v>5.9400000000000001E-2</v>
      </c>
      <c r="L216" s="9">
        <f t="shared" si="6"/>
        <v>490.062006</v>
      </c>
      <c r="M216" s="9">
        <f>ROUND(L216*0.2177,2)</f>
        <v>106.69</v>
      </c>
      <c r="N216" s="9">
        <f t="shared" si="7"/>
        <v>383.372006</v>
      </c>
    </row>
    <row r="217" spans="1:14" x14ac:dyDescent="0.35">
      <c r="A217" s="7" t="s">
        <v>300</v>
      </c>
      <c r="B217" s="8">
        <v>45747</v>
      </c>
      <c r="C217" s="7" t="s">
        <v>52</v>
      </c>
      <c r="D217" s="7" t="s">
        <v>40</v>
      </c>
      <c r="E217" s="7" t="s">
        <v>139</v>
      </c>
      <c r="F217" s="7" t="s">
        <v>42</v>
      </c>
      <c r="G217" s="7" t="s">
        <v>43</v>
      </c>
      <c r="H217" s="7" t="s">
        <v>64</v>
      </c>
      <c r="I217" s="7">
        <v>11</v>
      </c>
      <c r="J217" s="9">
        <v>319.75</v>
      </c>
      <c r="K217" s="10">
        <v>0.1608</v>
      </c>
      <c r="L217" s="9">
        <f t="shared" si="6"/>
        <v>2951.6761999999999</v>
      </c>
      <c r="M217" s="9">
        <f>ROUND(L217*0.6332,2)</f>
        <v>1869</v>
      </c>
      <c r="N217" s="9">
        <f t="shared" si="7"/>
        <v>1082.6761999999999</v>
      </c>
    </row>
    <row r="218" spans="1:14" x14ac:dyDescent="0.35">
      <c r="A218" s="7" t="s">
        <v>301</v>
      </c>
      <c r="B218" s="8">
        <v>45747</v>
      </c>
      <c r="C218" s="7" t="s">
        <v>46</v>
      </c>
      <c r="D218" s="7" t="s">
        <v>66</v>
      </c>
      <c r="E218" s="7" t="s">
        <v>137</v>
      </c>
      <c r="F218" s="7" t="s">
        <v>42</v>
      </c>
      <c r="G218" s="7" t="s">
        <v>55</v>
      </c>
      <c r="H218" s="7" t="s">
        <v>74</v>
      </c>
      <c r="I218" s="7">
        <v>31</v>
      </c>
      <c r="J218" s="9">
        <v>164.4</v>
      </c>
      <c r="K218" s="10">
        <v>7.5200000000000003E-2</v>
      </c>
      <c r="L218" s="9">
        <f t="shared" si="6"/>
        <v>4713.1507200000005</v>
      </c>
      <c r="M218" s="9">
        <f>ROUND(L218*0.5981,2)</f>
        <v>2818.94</v>
      </c>
      <c r="N218" s="9">
        <f t="shared" si="7"/>
        <v>1894.2107200000005</v>
      </c>
    </row>
    <row r="219" spans="1:14" x14ac:dyDescent="0.35">
      <c r="A219" s="7" t="s">
        <v>302</v>
      </c>
      <c r="B219" s="8">
        <v>45747</v>
      </c>
      <c r="C219" s="7" t="s">
        <v>39</v>
      </c>
      <c r="D219" s="7" t="s">
        <v>53</v>
      </c>
      <c r="E219" s="7" t="s">
        <v>87</v>
      </c>
      <c r="F219" s="7" t="s">
        <v>48</v>
      </c>
      <c r="G219" s="7" t="s">
        <v>49</v>
      </c>
      <c r="H219" s="7" t="s">
        <v>60</v>
      </c>
      <c r="I219" s="7">
        <v>3</v>
      </c>
      <c r="J219" s="9">
        <v>856.3</v>
      </c>
      <c r="K219" s="10">
        <v>7.1800000000000003E-2</v>
      </c>
      <c r="L219" s="9">
        <f t="shared" si="6"/>
        <v>2384.4529799999996</v>
      </c>
      <c r="M219" s="9">
        <f>ROUND(L219*0.7169,2)</f>
        <v>1709.41</v>
      </c>
      <c r="N219" s="9">
        <f t="shared" si="7"/>
        <v>675.04297999999949</v>
      </c>
    </row>
    <row r="220" spans="1:14" x14ac:dyDescent="0.35">
      <c r="A220" s="7" t="s">
        <v>303</v>
      </c>
      <c r="B220" s="8">
        <v>45747</v>
      </c>
      <c r="C220" s="7" t="s">
        <v>46</v>
      </c>
      <c r="D220" s="7" t="s">
        <v>53</v>
      </c>
      <c r="E220" s="7" t="s">
        <v>54</v>
      </c>
      <c r="F220" s="7" t="s">
        <v>59</v>
      </c>
      <c r="G220" s="7" t="s">
        <v>55</v>
      </c>
      <c r="H220" s="7" t="s">
        <v>74</v>
      </c>
      <c r="I220" s="7">
        <v>5</v>
      </c>
      <c r="J220" s="9">
        <v>1263.1400000000001</v>
      </c>
      <c r="K220" s="10">
        <v>6.9500000000000006E-2</v>
      </c>
      <c r="L220" s="9">
        <f t="shared" si="6"/>
        <v>5876.7588500000011</v>
      </c>
      <c r="M220" s="9">
        <f>ROUND(L220*0.7273,2)</f>
        <v>4274.17</v>
      </c>
      <c r="N220" s="9">
        <f t="shared" si="7"/>
        <v>1602.588850000001</v>
      </c>
    </row>
    <row r="221" spans="1:14" x14ac:dyDescent="0.35">
      <c r="A221" s="7" t="s">
        <v>304</v>
      </c>
      <c r="B221" s="8">
        <v>45747</v>
      </c>
      <c r="C221" s="7" t="s">
        <v>46</v>
      </c>
      <c r="D221" s="7" t="s">
        <v>40</v>
      </c>
      <c r="E221" s="7" t="s">
        <v>41</v>
      </c>
      <c r="F221" s="7" t="s">
        <v>59</v>
      </c>
      <c r="G221" s="7" t="s">
        <v>43</v>
      </c>
      <c r="H221" s="7" t="s">
        <v>95</v>
      </c>
      <c r="I221" s="7">
        <v>5</v>
      </c>
      <c r="J221" s="9">
        <v>390.97</v>
      </c>
      <c r="K221" s="10">
        <v>0.1396</v>
      </c>
      <c r="L221" s="9">
        <f t="shared" si="6"/>
        <v>1681.9529400000001</v>
      </c>
      <c r="M221" s="9">
        <f>ROUND(L221*0.6399,2)</f>
        <v>1076.28</v>
      </c>
      <c r="N221" s="9">
        <f t="shared" si="7"/>
        <v>605.67294000000015</v>
      </c>
    </row>
    <row r="222" spans="1:14" x14ac:dyDescent="0.35">
      <c r="A222" s="7" t="s">
        <v>305</v>
      </c>
      <c r="B222" s="8">
        <v>45747</v>
      </c>
      <c r="C222" s="7" t="s">
        <v>76</v>
      </c>
      <c r="D222" s="7" t="s">
        <v>66</v>
      </c>
      <c r="E222" s="7" t="s">
        <v>73</v>
      </c>
      <c r="F222" s="7" t="s">
        <v>59</v>
      </c>
      <c r="G222" s="7" t="s">
        <v>55</v>
      </c>
      <c r="H222" s="7" t="s">
        <v>78</v>
      </c>
      <c r="I222" s="7">
        <v>3</v>
      </c>
      <c r="J222" s="9">
        <v>37.83</v>
      </c>
      <c r="K222" s="10">
        <v>8.2400000000000001E-2</v>
      </c>
      <c r="L222" s="9">
        <f t="shared" si="6"/>
        <v>104.13842399999999</v>
      </c>
      <c r="M222" s="9">
        <f>ROUND(L222*0.5887,2)</f>
        <v>61.31</v>
      </c>
      <c r="N222" s="9">
        <f t="shared" si="7"/>
        <v>42.828423999999984</v>
      </c>
    </row>
    <row r="223" spans="1:14" x14ac:dyDescent="0.35">
      <c r="A223" s="7" t="s">
        <v>306</v>
      </c>
      <c r="B223" s="8">
        <v>45748</v>
      </c>
      <c r="C223" s="7" t="s">
        <v>39</v>
      </c>
      <c r="D223" s="7" t="s">
        <v>69</v>
      </c>
      <c r="E223" s="7" t="s">
        <v>113</v>
      </c>
      <c r="F223" s="7" t="s">
        <v>48</v>
      </c>
      <c r="G223" s="7" t="s">
        <v>55</v>
      </c>
      <c r="H223" s="7" t="s">
        <v>108</v>
      </c>
      <c r="I223" s="7">
        <v>3</v>
      </c>
      <c r="J223" s="9">
        <v>257.64</v>
      </c>
      <c r="K223" s="10">
        <v>3.4299999999999997E-2</v>
      </c>
      <c r="L223" s="9">
        <f t="shared" si="6"/>
        <v>746.40884399999993</v>
      </c>
      <c r="M223" s="9">
        <f>ROUND(L223*0.2496,2)</f>
        <v>186.3</v>
      </c>
      <c r="N223" s="9">
        <f t="shared" si="7"/>
        <v>560.10884399999986</v>
      </c>
    </row>
    <row r="224" spans="1:14" x14ac:dyDescent="0.35">
      <c r="A224" s="7" t="s">
        <v>307</v>
      </c>
      <c r="B224" s="8">
        <v>45748</v>
      </c>
      <c r="C224" s="7" t="s">
        <v>52</v>
      </c>
      <c r="D224" s="7" t="s">
        <v>40</v>
      </c>
      <c r="E224" s="7" t="s">
        <v>47</v>
      </c>
      <c r="F224" s="7" t="s">
        <v>48</v>
      </c>
      <c r="G224" s="7" t="s">
        <v>55</v>
      </c>
      <c r="H224" s="7" t="s">
        <v>56</v>
      </c>
      <c r="I224" s="7">
        <v>2</v>
      </c>
      <c r="J224" s="9">
        <v>250.64</v>
      </c>
      <c r="K224" s="10">
        <v>4.5600000000000002E-2</v>
      </c>
      <c r="L224" s="9">
        <f t="shared" si="6"/>
        <v>478.42163199999999</v>
      </c>
      <c r="M224" s="9">
        <f>ROUND(L224*0.6257,2)</f>
        <v>299.35000000000002</v>
      </c>
      <c r="N224" s="9">
        <f t="shared" si="7"/>
        <v>179.07163199999997</v>
      </c>
    </row>
    <row r="225" spans="1:14" x14ac:dyDescent="0.35">
      <c r="A225" s="7" t="s">
        <v>308</v>
      </c>
      <c r="B225" s="8">
        <v>45748</v>
      </c>
      <c r="C225" s="7" t="s">
        <v>39</v>
      </c>
      <c r="D225" s="7" t="s">
        <v>66</v>
      </c>
      <c r="E225" s="7" t="s">
        <v>73</v>
      </c>
      <c r="F225" s="7" t="s">
        <v>48</v>
      </c>
      <c r="G225" s="7" t="s">
        <v>55</v>
      </c>
      <c r="H225" s="7" t="s">
        <v>108</v>
      </c>
      <c r="I225" s="7">
        <v>3</v>
      </c>
      <c r="J225" s="9">
        <v>38.299999999999997</v>
      </c>
      <c r="K225" s="10">
        <v>3.0000000000000001E-3</v>
      </c>
      <c r="L225" s="9">
        <f t="shared" si="6"/>
        <v>114.55529999999999</v>
      </c>
      <c r="M225" s="9">
        <f>ROUND(L225*0.551,2)</f>
        <v>63.12</v>
      </c>
      <c r="N225" s="9">
        <f t="shared" si="7"/>
        <v>51.435299999999991</v>
      </c>
    </row>
    <row r="226" spans="1:14" x14ac:dyDescent="0.35">
      <c r="A226" s="7" t="s">
        <v>309</v>
      </c>
      <c r="B226" s="8">
        <v>45748</v>
      </c>
      <c r="C226" s="7" t="s">
        <v>46</v>
      </c>
      <c r="D226" s="7" t="s">
        <v>53</v>
      </c>
      <c r="E226" s="7" t="s">
        <v>105</v>
      </c>
      <c r="F226" s="7" t="s">
        <v>59</v>
      </c>
      <c r="G226" s="7" t="s">
        <v>55</v>
      </c>
      <c r="H226" s="7" t="s">
        <v>74</v>
      </c>
      <c r="I226" s="7">
        <v>9</v>
      </c>
      <c r="J226" s="9">
        <v>438.31</v>
      </c>
      <c r="K226" s="10">
        <v>9.4899999999999998E-2</v>
      </c>
      <c r="L226" s="9">
        <f t="shared" si="6"/>
        <v>3570.4294290000003</v>
      </c>
      <c r="M226" s="9">
        <f>ROUND(L226*0.6879,2)</f>
        <v>2456.1</v>
      </c>
      <c r="N226" s="9">
        <f t="shared" si="7"/>
        <v>1114.3294290000003</v>
      </c>
    </row>
    <row r="227" spans="1:14" x14ac:dyDescent="0.35">
      <c r="A227" s="7" t="s">
        <v>310</v>
      </c>
      <c r="B227" s="8">
        <v>45748</v>
      </c>
      <c r="C227" s="7" t="s">
        <v>46</v>
      </c>
      <c r="D227" s="7" t="s">
        <v>53</v>
      </c>
      <c r="E227" s="7" t="s">
        <v>87</v>
      </c>
      <c r="F227" s="7" t="s">
        <v>42</v>
      </c>
      <c r="G227" s="7" t="s">
        <v>43</v>
      </c>
      <c r="H227" s="7" t="s">
        <v>95</v>
      </c>
      <c r="I227" s="7">
        <v>32</v>
      </c>
      <c r="J227" s="9">
        <v>903.81</v>
      </c>
      <c r="K227" s="10">
        <v>0.1895</v>
      </c>
      <c r="L227" s="9">
        <f t="shared" si="6"/>
        <v>23441.21616</v>
      </c>
      <c r="M227" s="9">
        <f>ROUND(L227*0.7008,2)</f>
        <v>16427.599999999999</v>
      </c>
      <c r="N227" s="9">
        <f t="shared" si="7"/>
        <v>7013.6161600000014</v>
      </c>
    </row>
    <row r="228" spans="1:14" x14ac:dyDescent="0.35">
      <c r="A228" s="7" t="s">
        <v>311</v>
      </c>
      <c r="B228" s="8">
        <v>45748</v>
      </c>
      <c r="C228" s="7" t="s">
        <v>76</v>
      </c>
      <c r="D228" s="7" t="s">
        <v>40</v>
      </c>
      <c r="E228" s="7" t="s">
        <v>47</v>
      </c>
      <c r="F228" s="7" t="s">
        <v>48</v>
      </c>
      <c r="G228" s="7" t="s">
        <v>55</v>
      </c>
      <c r="H228" s="7" t="s">
        <v>78</v>
      </c>
      <c r="I228" s="7">
        <v>2</v>
      </c>
      <c r="J228" s="9">
        <v>256.25</v>
      </c>
      <c r="K228" s="10">
        <v>1.55E-2</v>
      </c>
      <c r="L228" s="9">
        <f t="shared" si="6"/>
        <v>504.55625000000003</v>
      </c>
      <c r="M228" s="9">
        <f>ROUND(L228*0.6348,2)</f>
        <v>320.29000000000002</v>
      </c>
      <c r="N228" s="9">
        <f t="shared" si="7"/>
        <v>184.26625000000001</v>
      </c>
    </row>
    <row r="229" spans="1:14" x14ac:dyDescent="0.35">
      <c r="A229" s="7" t="s">
        <v>312</v>
      </c>
      <c r="B229" s="8">
        <v>45749</v>
      </c>
      <c r="C229" s="7" t="s">
        <v>39</v>
      </c>
      <c r="D229" s="7" t="s">
        <v>40</v>
      </c>
      <c r="E229" s="7" t="s">
        <v>47</v>
      </c>
      <c r="F229" s="7" t="s">
        <v>59</v>
      </c>
      <c r="G229" s="7" t="s">
        <v>49</v>
      </c>
      <c r="H229" s="7" t="s">
        <v>44</v>
      </c>
      <c r="I229" s="7">
        <v>8</v>
      </c>
      <c r="J229" s="9">
        <v>242.8</v>
      </c>
      <c r="K229" s="10">
        <v>9.6699999999999994E-2</v>
      </c>
      <c r="L229" s="9">
        <f t="shared" si="6"/>
        <v>1754.5699200000001</v>
      </c>
      <c r="M229" s="9">
        <f>ROUND(L229*0.6157,2)</f>
        <v>1080.29</v>
      </c>
      <c r="N229" s="9">
        <f t="shared" si="7"/>
        <v>674.27992000000017</v>
      </c>
    </row>
    <row r="230" spans="1:14" x14ac:dyDescent="0.35">
      <c r="A230" s="7" t="s">
        <v>313</v>
      </c>
      <c r="B230" s="8">
        <v>45749</v>
      </c>
      <c r="C230" s="7" t="s">
        <v>76</v>
      </c>
      <c r="D230" s="7" t="s">
        <v>53</v>
      </c>
      <c r="E230" s="7" t="s">
        <v>54</v>
      </c>
      <c r="F230" s="7" t="s">
        <v>42</v>
      </c>
      <c r="G230" s="7" t="s">
        <v>49</v>
      </c>
      <c r="H230" s="7" t="s">
        <v>110</v>
      </c>
      <c r="I230" s="7">
        <v>23</v>
      </c>
      <c r="J230" s="9">
        <v>1235.33</v>
      </c>
      <c r="K230" s="10">
        <v>0.1351</v>
      </c>
      <c r="L230" s="9">
        <f t="shared" si="6"/>
        <v>24574.049090999997</v>
      </c>
      <c r="M230" s="9">
        <f>ROUND(L230*0.6847,2)</f>
        <v>16825.849999999999</v>
      </c>
      <c r="N230" s="9">
        <f t="shared" si="7"/>
        <v>7748.1990909999986</v>
      </c>
    </row>
    <row r="231" spans="1:14" x14ac:dyDescent="0.35">
      <c r="A231" s="7" t="s">
        <v>314</v>
      </c>
      <c r="B231" s="8">
        <v>45750</v>
      </c>
      <c r="C231" s="7" t="s">
        <v>52</v>
      </c>
      <c r="D231" s="7" t="s">
        <v>53</v>
      </c>
      <c r="E231" s="7" t="s">
        <v>54</v>
      </c>
      <c r="F231" s="7" t="s">
        <v>59</v>
      </c>
      <c r="G231" s="7" t="s">
        <v>55</v>
      </c>
      <c r="H231" s="7" t="s">
        <v>56</v>
      </c>
      <c r="I231" s="7">
        <v>6</v>
      </c>
      <c r="J231" s="9">
        <v>1296.8599999999999</v>
      </c>
      <c r="K231" s="10">
        <v>5.5399999999999998E-2</v>
      </c>
      <c r="L231" s="9">
        <f t="shared" si="6"/>
        <v>7350.0837359999996</v>
      </c>
      <c r="M231" s="9">
        <f>ROUND(L231*0.7,2)</f>
        <v>5145.0600000000004</v>
      </c>
      <c r="N231" s="9">
        <f t="shared" si="7"/>
        <v>2205.0237359999992</v>
      </c>
    </row>
    <row r="232" spans="1:14" x14ac:dyDescent="0.35">
      <c r="A232" s="7" t="s">
        <v>315</v>
      </c>
      <c r="B232" s="8">
        <v>45750</v>
      </c>
      <c r="C232" s="7" t="s">
        <v>39</v>
      </c>
      <c r="D232" s="7" t="s">
        <v>66</v>
      </c>
      <c r="E232" s="7" t="s">
        <v>137</v>
      </c>
      <c r="F232" s="7" t="s">
        <v>59</v>
      </c>
      <c r="G232" s="7" t="s">
        <v>55</v>
      </c>
      <c r="H232" s="7" t="s">
        <v>108</v>
      </c>
      <c r="I232" s="7">
        <v>8</v>
      </c>
      <c r="J232" s="9">
        <v>158.43</v>
      </c>
      <c r="K232" s="10">
        <v>5.5399999999999998E-2</v>
      </c>
      <c r="L232" s="9">
        <f t="shared" si="6"/>
        <v>1197.2238240000001</v>
      </c>
      <c r="M232" s="9">
        <f>ROUND(L232*0.579,2)</f>
        <v>693.19</v>
      </c>
      <c r="N232" s="9">
        <f t="shared" si="7"/>
        <v>504.0338240000001</v>
      </c>
    </row>
    <row r="233" spans="1:14" x14ac:dyDescent="0.35">
      <c r="A233" s="7" t="s">
        <v>316</v>
      </c>
      <c r="B233" s="8">
        <v>45751</v>
      </c>
      <c r="C233" s="7" t="s">
        <v>52</v>
      </c>
      <c r="D233" s="7" t="s">
        <v>40</v>
      </c>
      <c r="E233" s="7" t="s">
        <v>139</v>
      </c>
      <c r="F233" s="7" t="s">
        <v>59</v>
      </c>
      <c r="G233" s="7" t="s">
        <v>43</v>
      </c>
      <c r="H233" s="7" t="s">
        <v>71</v>
      </c>
      <c r="I233" s="7">
        <v>8</v>
      </c>
      <c r="J233" s="9">
        <v>331.73</v>
      </c>
      <c r="K233" s="10">
        <v>0.1305</v>
      </c>
      <c r="L233" s="9">
        <f t="shared" si="6"/>
        <v>2307.51388</v>
      </c>
      <c r="M233" s="9">
        <f>ROUND(L233*0.6357,2)</f>
        <v>1466.89</v>
      </c>
      <c r="N233" s="9">
        <f t="shared" si="7"/>
        <v>840.62387999999987</v>
      </c>
    </row>
    <row r="234" spans="1:14" x14ac:dyDescent="0.35">
      <c r="A234" s="7" t="s">
        <v>317</v>
      </c>
      <c r="B234" s="8">
        <v>45751</v>
      </c>
      <c r="C234" s="7" t="s">
        <v>76</v>
      </c>
      <c r="D234" s="7" t="s">
        <v>69</v>
      </c>
      <c r="E234" s="7" t="s">
        <v>119</v>
      </c>
      <c r="F234" s="7" t="s">
        <v>48</v>
      </c>
      <c r="G234" s="7" t="s">
        <v>55</v>
      </c>
      <c r="H234" s="7" t="s">
        <v>78</v>
      </c>
      <c r="I234" s="7">
        <v>3</v>
      </c>
      <c r="J234" s="9">
        <v>200.28</v>
      </c>
      <c r="K234" s="10">
        <v>4.4400000000000002E-2</v>
      </c>
      <c r="L234" s="9">
        <f t="shared" si="6"/>
        <v>574.16270400000008</v>
      </c>
      <c r="M234" s="9">
        <f>ROUND(L234*0.2367,2)</f>
        <v>135.9</v>
      </c>
      <c r="N234" s="9">
        <f t="shared" si="7"/>
        <v>438.2627040000001</v>
      </c>
    </row>
    <row r="235" spans="1:14" x14ac:dyDescent="0.35">
      <c r="A235" s="7" t="s">
        <v>318</v>
      </c>
      <c r="B235" s="8">
        <v>45752</v>
      </c>
      <c r="C235" s="7" t="s">
        <v>39</v>
      </c>
      <c r="D235" s="7" t="s">
        <v>40</v>
      </c>
      <c r="E235" s="7" t="s">
        <v>41</v>
      </c>
      <c r="F235" s="7" t="s">
        <v>48</v>
      </c>
      <c r="G235" s="7" t="s">
        <v>49</v>
      </c>
      <c r="H235" s="7" t="s">
        <v>44</v>
      </c>
      <c r="I235" s="7">
        <v>1</v>
      </c>
      <c r="J235" s="9">
        <v>395.13</v>
      </c>
      <c r="K235" s="10">
        <v>1.8599999999999998E-2</v>
      </c>
      <c r="L235" s="9">
        <f t="shared" si="6"/>
        <v>387.78058200000004</v>
      </c>
      <c r="M235" s="9">
        <f>ROUND(L235*0.6394,2)</f>
        <v>247.95</v>
      </c>
      <c r="N235" s="9">
        <f t="shared" si="7"/>
        <v>139.83058200000005</v>
      </c>
    </row>
    <row r="236" spans="1:14" x14ac:dyDescent="0.35">
      <c r="A236" s="7" t="s">
        <v>319</v>
      </c>
      <c r="B236" s="8">
        <v>45752</v>
      </c>
      <c r="C236" s="7" t="s">
        <v>39</v>
      </c>
      <c r="D236" s="7" t="s">
        <v>40</v>
      </c>
      <c r="E236" s="7" t="s">
        <v>139</v>
      </c>
      <c r="F236" s="7" t="s">
        <v>59</v>
      </c>
      <c r="G236" s="7" t="s">
        <v>55</v>
      </c>
      <c r="H236" s="7" t="s">
        <v>108</v>
      </c>
      <c r="I236" s="7">
        <v>8</v>
      </c>
      <c r="J236" s="9">
        <v>325.33</v>
      </c>
      <c r="K236" s="10">
        <v>9.2799999999999994E-2</v>
      </c>
      <c r="L236" s="9">
        <f t="shared" si="6"/>
        <v>2361.1150079999998</v>
      </c>
      <c r="M236" s="9">
        <f>ROUND(L236*0.6666,2)</f>
        <v>1573.92</v>
      </c>
      <c r="N236" s="9">
        <f t="shared" si="7"/>
        <v>787.19500799999969</v>
      </c>
    </row>
    <row r="237" spans="1:14" x14ac:dyDescent="0.35">
      <c r="A237" s="7" t="s">
        <v>320</v>
      </c>
      <c r="B237" s="8">
        <v>45752</v>
      </c>
      <c r="C237" s="7" t="s">
        <v>46</v>
      </c>
      <c r="D237" s="7" t="s">
        <v>40</v>
      </c>
      <c r="E237" s="7" t="s">
        <v>41</v>
      </c>
      <c r="F237" s="7" t="s">
        <v>42</v>
      </c>
      <c r="G237" s="7" t="s">
        <v>49</v>
      </c>
      <c r="H237" s="7" t="s">
        <v>95</v>
      </c>
      <c r="I237" s="7">
        <v>21</v>
      </c>
      <c r="J237" s="9">
        <v>395.14</v>
      </c>
      <c r="K237" s="10">
        <v>0.1227</v>
      </c>
      <c r="L237" s="9">
        <f t="shared" si="6"/>
        <v>7279.7827619999998</v>
      </c>
      <c r="M237" s="9">
        <f>ROUND(L237*0.6457,2)</f>
        <v>4700.5600000000004</v>
      </c>
      <c r="N237" s="9">
        <f t="shared" si="7"/>
        <v>2579.2227619999994</v>
      </c>
    </row>
    <row r="238" spans="1:14" x14ac:dyDescent="0.35">
      <c r="A238" s="7" t="s">
        <v>321</v>
      </c>
      <c r="B238" s="8">
        <v>45753</v>
      </c>
      <c r="C238" s="7" t="s">
        <v>52</v>
      </c>
      <c r="D238" s="7" t="s">
        <v>66</v>
      </c>
      <c r="E238" s="7" t="s">
        <v>137</v>
      </c>
      <c r="F238" s="7" t="s">
        <v>48</v>
      </c>
      <c r="G238" s="7" t="s">
        <v>49</v>
      </c>
      <c r="H238" s="7" t="s">
        <v>71</v>
      </c>
      <c r="I238" s="7">
        <v>2</v>
      </c>
      <c r="J238" s="9">
        <v>159.99</v>
      </c>
      <c r="K238" s="10">
        <v>7.1599999999999997E-2</v>
      </c>
      <c r="L238" s="9">
        <f t="shared" si="6"/>
        <v>297.06943200000001</v>
      </c>
      <c r="M238" s="9">
        <f>ROUND(L238*0.5978,2)</f>
        <v>177.59</v>
      </c>
      <c r="N238" s="9">
        <f t="shared" si="7"/>
        <v>119.479432</v>
      </c>
    </row>
    <row r="239" spans="1:14" x14ac:dyDescent="0.35">
      <c r="A239" s="7" t="s">
        <v>322</v>
      </c>
      <c r="B239" s="8">
        <v>45753</v>
      </c>
      <c r="C239" s="7" t="s">
        <v>39</v>
      </c>
      <c r="D239" s="7" t="s">
        <v>69</v>
      </c>
      <c r="E239" s="7" t="s">
        <v>70</v>
      </c>
      <c r="F239" s="7" t="s">
        <v>48</v>
      </c>
      <c r="G239" s="7" t="s">
        <v>49</v>
      </c>
      <c r="H239" s="7" t="s">
        <v>44</v>
      </c>
      <c r="I239" s="7">
        <v>3</v>
      </c>
      <c r="J239" s="9">
        <v>150.19999999999999</v>
      </c>
      <c r="K239" s="10">
        <v>2.7699999999999999E-2</v>
      </c>
      <c r="L239" s="9">
        <f t="shared" si="6"/>
        <v>438.11838</v>
      </c>
      <c r="M239" s="9">
        <f>ROUND(L239*0.2414,2)</f>
        <v>105.76</v>
      </c>
      <c r="N239" s="9">
        <f t="shared" si="7"/>
        <v>332.35838000000001</v>
      </c>
    </row>
    <row r="240" spans="1:14" x14ac:dyDescent="0.35">
      <c r="A240" s="7" t="s">
        <v>323</v>
      </c>
      <c r="B240" s="8">
        <v>45753</v>
      </c>
      <c r="C240" s="7" t="s">
        <v>52</v>
      </c>
      <c r="D240" s="7" t="s">
        <v>53</v>
      </c>
      <c r="E240" s="7" t="s">
        <v>87</v>
      </c>
      <c r="F240" s="7" t="s">
        <v>48</v>
      </c>
      <c r="G240" s="7" t="s">
        <v>55</v>
      </c>
      <c r="H240" s="7" t="s">
        <v>56</v>
      </c>
      <c r="I240" s="7">
        <v>1</v>
      </c>
      <c r="J240" s="9">
        <v>893.91</v>
      </c>
      <c r="K240" s="10">
        <v>1.18E-2</v>
      </c>
      <c r="L240" s="9">
        <f t="shared" si="6"/>
        <v>883.36186199999997</v>
      </c>
      <c r="M240" s="9">
        <f>ROUND(L240*0.6857,2)</f>
        <v>605.72</v>
      </c>
      <c r="N240" s="9">
        <f t="shared" si="7"/>
        <v>277.64186199999995</v>
      </c>
    </row>
    <row r="241" spans="1:14" x14ac:dyDescent="0.35">
      <c r="A241" s="7" t="s">
        <v>324</v>
      </c>
      <c r="B241" s="8">
        <v>45753</v>
      </c>
      <c r="C241" s="7" t="s">
        <v>46</v>
      </c>
      <c r="D241" s="7" t="s">
        <v>53</v>
      </c>
      <c r="E241" s="7" t="s">
        <v>54</v>
      </c>
      <c r="F241" s="7" t="s">
        <v>42</v>
      </c>
      <c r="G241" s="7" t="s">
        <v>43</v>
      </c>
      <c r="H241" s="7" t="s">
        <v>95</v>
      </c>
      <c r="I241" s="7">
        <v>23</v>
      </c>
      <c r="J241" s="9">
        <v>1255.29</v>
      </c>
      <c r="K241" s="10">
        <v>0.1925</v>
      </c>
      <c r="L241" s="9">
        <f t="shared" si="6"/>
        <v>23313.873524999999</v>
      </c>
      <c r="M241" s="9">
        <f>ROUND(L241*0.7272,2)</f>
        <v>16953.849999999999</v>
      </c>
      <c r="N241" s="9">
        <f t="shared" si="7"/>
        <v>6360.0235250000005</v>
      </c>
    </row>
    <row r="242" spans="1:14" x14ac:dyDescent="0.35">
      <c r="A242" s="7" t="s">
        <v>325</v>
      </c>
      <c r="B242" s="8">
        <v>45754</v>
      </c>
      <c r="C242" s="7" t="s">
        <v>39</v>
      </c>
      <c r="D242" s="7" t="s">
        <v>53</v>
      </c>
      <c r="E242" s="7" t="s">
        <v>81</v>
      </c>
      <c r="F242" s="7" t="s">
        <v>48</v>
      </c>
      <c r="G242" s="7" t="s">
        <v>55</v>
      </c>
      <c r="H242" s="7" t="s">
        <v>108</v>
      </c>
      <c r="I242" s="7">
        <v>1</v>
      </c>
      <c r="J242" s="9">
        <v>1079.51</v>
      </c>
      <c r="K242" s="10">
        <v>5.3100000000000001E-2</v>
      </c>
      <c r="L242" s="9">
        <f t="shared" si="6"/>
        <v>1022.1880189999999</v>
      </c>
      <c r="M242" s="9">
        <f>ROUND(L242*0.7278,2)</f>
        <v>743.95</v>
      </c>
      <c r="N242" s="9">
        <f t="shared" si="7"/>
        <v>278.23801899999989</v>
      </c>
    </row>
    <row r="243" spans="1:14" x14ac:dyDescent="0.35">
      <c r="A243" s="7" t="s">
        <v>326</v>
      </c>
      <c r="B243" s="8">
        <v>45754</v>
      </c>
      <c r="C243" s="7" t="s">
        <v>46</v>
      </c>
      <c r="D243" s="7" t="s">
        <v>66</v>
      </c>
      <c r="E243" s="7" t="s">
        <v>67</v>
      </c>
      <c r="F243" s="7" t="s">
        <v>48</v>
      </c>
      <c r="G243" s="7" t="s">
        <v>49</v>
      </c>
      <c r="H243" s="7" t="s">
        <v>95</v>
      </c>
      <c r="I243" s="7">
        <v>3</v>
      </c>
      <c r="J243" s="9">
        <v>84.3</v>
      </c>
      <c r="K243" s="10">
        <v>6.7000000000000004E-2</v>
      </c>
      <c r="L243" s="9">
        <f t="shared" si="6"/>
        <v>235.95569999999998</v>
      </c>
      <c r="M243" s="9">
        <f>ROUND(L243*0.5555,2)</f>
        <v>131.07</v>
      </c>
      <c r="N243" s="9">
        <f t="shared" si="7"/>
        <v>104.88569999999999</v>
      </c>
    </row>
    <row r="244" spans="1:14" x14ac:dyDescent="0.35">
      <c r="A244" s="7" t="s">
        <v>327</v>
      </c>
      <c r="B244" s="8">
        <v>45754</v>
      </c>
      <c r="C244" s="7" t="s">
        <v>46</v>
      </c>
      <c r="D244" s="7" t="s">
        <v>69</v>
      </c>
      <c r="E244" s="7" t="s">
        <v>107</v>
      </c>
      <c r="F244" s="7" t="s">
        <v>48</v>
      </c>
      <c r="G244" s="7" t="s">
        <v>49</v>
      </c>
      <c r="H244" s="7" t="s">
        <v>95</v>
      </c>
      <c r="I244" s="7">
        <v>1</v>
      </c>
      <c r="J244" s="9">
        <v>55.34</v>
      </c>
      <c r="K244" s="10">
        <v>7.6E-3</v>
      </c>
      <c r="L244" s="9">
        <f t="shared" si="6"/>
        <v>54.919415999999998</v>
      </c>
      <c r="M244" s="9">
        <f>ROUND(L244*0.2551,2)</f>
        <v>14.01</v>
      </c>
      <c r="N244" s="9">
        <f t="shared" si="7"/>
        <v>40.909416</v>
      </c>
    </row>
    <row r="245" spans="1:14" x14ac:dyDescent="0.35">
      <c r="A245" s="7" t="s">
        <v>328</v>
      </c>
      <c r="B245" s="8">
        <v>45754</v>
      </c>
      <c r="C245" s="7" t="s">
        <v>39</v>
      </c>
      <c r="D245" s="7" t="s">
        <v>69</v>
      </c>
      <c r="E245" s="7" t="s">
        <v>132</v>
      </c>
      <c r="F245" s="7" t="s">
        <v>48</v>
      </c>
      <c r="G245" s="7" t="s">
        <v>49</v>
      </c>
      <c r="H245" s="7" t="s">
        <v>44</v>
      </c>
      <c r="I245" s="7">
        <v>1</v>
      </c>
      <c r="J245" s="9">
        <v>77.83</v>
      </c>
      <c r="K245" s="10">
        <v>4.2200000000000001E-2</v>
      </c>
      <c r="L245" s="9">
        <f t="shared" si="6"/>
        <v>74.545574000000002</v>
      </c>
      <c r="M245" s="9">
        <f>ROUND(L245*0.2693,2)</f>
        <v>20.079999999999998</v>
      </c>
      <c r="N245" s="9">
        <f t="shared" si="7"/>
        <v>54.465574000000004</v>
      </c>
    </row>
    <row r="246" spans="1:14" x14ac:dyDescent="0.35">
      <c r="A246" s="7" t="s">
        <v>329</v>
      </c>
      <c r="B246" s="8">
        <v>45755</v>
      </c>
      <c r="C246" s="7" t="s">
        <v>46</v>
      </c>
      <c r="D246" s="7" t="s">
        <v>66</v>
      </c>
      <c r="E246" s="7" t="s">
        <v>73</v>
      </c>
      <c r="F246" s="7" t="s">
        <v>48</v>
      </c>
      <c r="G246" s="7" t="s">
        <v>49</v>
      </c>
      <c r="H246" s="7" t="s">
        <v>95</v>
      </c>
      <c r="I246" s="7">
        <v>3</v>
      </c>
      <c r="J246" s="9">
        <v>36.659999999999997</v>
      </c>
      <c r="K246" s="10">
        <v>7.3700000000000002E-2</v>
      </c>
      <c r="L246" s="9">
        <f t="shared" si="6"/>
        <v>101.87447399999999</v>
      </c>
      <c r="M246" s="9">
        <f>ROUND(L246*0.5965,2)</f>
        <v>60.77</v>
      </c>
      <c r="N246" s="9">
        <f t="shared" si="7"/>
        <v>41.104473999999989</v>
      </c>
    </row>
    <row r="247" spans="1:14" x14ac:dyDescent="0.35">
      <c r="A247" s="7" t="s">
        <v>330</v>
      </c>
      <c r="B247" s="8">
        <v>45755</v>
      </c>
      <c r="C247" s="7" t="s">
        <v>76</v>
      </c>
      <c r="D247" s="7" t="s">
        <v>40</v>
      </c>
      <c r="E247" s="7" t="s">
        <v>91</v>
      </c>
      <c r="F247" s="7" t="s">
        <v>59</v>
      </c>
      <c r="G247" s="7" t="s">
        <v>49</v>
      </c>
      <c r="H247" s="7" t="s">
        <v>151</v>
      </c>
      <c r="I247" s="7">
        <v>10</v>
      </c>
      <c r="J247" s="9">
        <v>129.80000000000001</v>
      </c>
      <c r="K247" s="10">
        <v>8.5800000000000001E-2</v>
      </c>
      <c r="L247" s="9">
        <f t="shared" si="6"/>
        <v>1186.6315999999999</v>
      </c>
      <c r="M247" s="9">
        <f>ROUND(L247*0.6394,2)</f>
        <v>758.73</v>
      </c>
      <c r="N247" s="9">
        <f t="shared" si="7"/>
        <v>427.90159999999992</v>
      </c>
    </row>
    <row r="248" spans="1:14" x14ac:dyDescent="0.35">
      <c r="A248" s="7" t="s">
        <v>331</v>
      </c>
      <c r="B248" s="8">
        <v>45755</v>
      </c>
      <c r="C248" s="7" t="s">
        <v>39</v>
      </c>
      <c r="D248" s="7" t="s">
        <v>66</v>
      </c>
      <c r="E248" s="7" t="s">
        <v>73</v>
      </c>
      <c r="F248" s="7" t="s">
        <v>48</v>
      </c>
      <c r="G248" s="7" t="s">
        <v>55</v>
      </c>
      <c r="H248" s="7" t="s">
        <v>108</v>
      </c>
      <c r="I248" s="7">
        <v>3</v>
      </c>
      <c r="J248" s="9">
        <v>39.630000000000003</v>
      </c>
      <c r="K248" s="10">
        <v>2.2800000000000001E-2</v>
      </c>
      <c r="L248" s="9">
        <f t="shared" si="6"/>
        <v>116.17930800000001</v>
      </c>
      <c r="M248" s="9">
        <f>ROUND(L248*0.5944,2)</f>
        <v>69.06</v>
      </c>
      <c r="N248" s="9">
        <f t="shared" si="7"/>
        <v>47.119308000000004</v>
      </c>
    </row>
    <row r="249" spans="1:14" x14ac:dyDescent="0.35">
      <c r="A249" s="7" t="s">
        <v>332</v>
      </c>
      <c r="B249" s="8">
        <v>45756</v>
      </c>
      <c r="C249" s="7" t="s">
        <v>52</v>
      </c>
      <c r="D249" s="7" t="s">
        <v>53</v>
      </c>
      <c r="E249" s="7" t="s">
        <v>58</v>
      </c>
      <c r="F249" s="7" t="s">
        <v>59</v>
      </c>
      <c r="G249" s="7" t="s">
        <v>49</v>
      </c>
      <c r="H249" s="7" t="s">
        <v>64</v>
      </c>
      <c r="I249" s="7">
        <v>10</v>
      </c>
      <c r="J249" s="9">
        <v>682.49</v>
      </c>
      <c r="K249" s="10">
        <v>8.5800000000000001E-2</v>
      </c>
      <c r="L249" s="9">
        <f t="shared" si="6"/>
        <v>6239.3235799999993</v>
      </c>
      <c r="M249" s="9">
        <f>ROUND(L249*0.7354,2)</f>
        <v>4588.3999999999996</v>
      </c>
      <c r="N249" s="9">
        <f t="shared" si="7"/>
        <v>1650.9235799999997</v>
      </c>
    </row>
    <row r="250" spans="1:14" x14ac:dyDescent="0.35">
      <c r="A250" s="7" t="s">
        <v>333</v>
      </c>
      <c r="B250" s="8">
        <v>45756</v>
      </c>
      <c r="C250" s="7" t="s">
        <v>46</v>
      </c>
      <c r="D250" s="7" t="s">
        <v>53</v>
      </c>
      <c r="E250" s="7" t="s">
        <v>81</v>
      </c>
      <c r="F250" s="7" t="s">
        <v>59</v>
      </c>
      <c r="G250" s="7" t="s">
        <v>43</v>
      </c>
      <c r="H250" s="7" t="s">
        <v>95</v>
      </c>
      <c r="I250" s="7">
        <v>10</v>
      </c>
      <c r="J250" s="9">
        <v>1082.6199999999999</v>
      </c>
      <c r="K250" s="10">
        <v>0.16159999999999999</v>
      </c>
      <c r="L250" s="9">
        <f t="shared" si="6"/>
        <v>9076.6860799999995</v>
      </c>
      <c r="M250" s="9">
        <f>ROUND(L250*0.6936,2)</f>
        <v>6295.59</v>
      </c>
      <c r="N250" s="9">
        <f t="shared" si="7"/>
        <v>2781.0960799999993</v>
      </c>
    </row>
    <row r="251" spans="1:14" x14ac:dyDescent="0.35">
      <c r="A251" s="7" t="s">
        <v>334</v>
      </c>
      <c r="B251" s="8">
        <v>45756</v>
      </c>
      <c r="C251" s="7" t="s">
        <v>52</v>
      </c>
      <c r="D251" s="7" t="s">
        <v>40</v>
      </c>
      <c r="E251" s="7" t="s">
        <v>47</v>
      </c>
      <c r="F251" s="7" t="s">
        <v>59</v>
      </c>
      <c r="G251" s="7" t="s">
        <v>55</v>
      </c>
      <c r="H251" s="7" t="s">
        <v>56</v>
      </c>
      <c r="I251" s="7">
        <v>9</v>
      </c>
      <c r="J251" s="9">
        <v>251.29</v>
      </c>
      <c r="K251" s="10">
        <v>0.06</v>
      </c>
      <c r="L251" s="9">
        <f t="shared" si="6"/>
        <v>2125.9133999999999</v>
      </c>
      <c r="M251" s="9">
        <f>ROUND(L251*0.6633,2)</f>
        <v>1410.12</v>
      </c>
      <c r="N251" s="9">
        <f t="shared" si="7"/>
        <v>715.79340000000002</v>
      </c>
    </row>
    <row r="252" spans="1:14" x14ac:dyDescent="0.35">
      <c r="A252" s="7" t="s">
        <v>335</v>
      </c>
      <c r="B252" s="8">
        <v>45756</v>
      </c>
      <c r="C252" s="7" t="s">
        <v>46</v>
      </c>
      <c r="D252" s="7" t="s">
        <v>66</v>
      </c>
      <c r="E252" s="7" t="s">
        <v>73</v>
      </c>
      <c r="F252" s="7" t="s">
        <v>48</v>
      </c>
      <c r="G252" s="7" t="s">
        <v>49</v>
      </c>
      <c r="H252" s="7" t="s">
        <v>95</v>
      </c>
      <c r="I252" s="7">
        <v>2</v>
      </c>
      <c r="J252" s="9">
        <v>38.69</v>
      </c>
      <c r="K252" s="10">
        <v>1.15E-2</v>
      </c>
      <c r="L252" s="9">
        <f t="shared" si="6"/>
        <v>76.490129999999994</v>
      </c>
      <c r="M252" s="9">
        <f>ROUND(L252*0.6067,2)</f>
        <v>46.41</v>
      </c>
      <c r="N252" s="9">
        <f t="shared" si="7"/>
        <v>30.080129999999997</v>
      </c>
    </row>
    <row r="253" spans="1:14" x14ac:dyDescent="0.35">
      <c r="A253" s="7" t="s">
        <v>336</v>
      </c>
      <c r="B253" s="8">
        <v>45756</v>
      </c>
      <c r="C253" s="7" t="s">
        <v>39</v>
      </c>
      <c r="D253" s="7" t="s">
        <v>53</v>
      </c>
      <c r="E253" s="7" t="s">
        <v>105</v>
      </c>
      <c r="F253" s="7" t="s">
        <v>42</v>
      </c>
      <c r="G253" s="7" t="s">
        <v>43</v>
      </c>
      <c r="H253" s="7" t="s">
        <v>44</v>
      </c>
      <c r="I253" s="7">
        <v>21</v>
      </c>
      <c r="J253" s="9">
        <v>443.08</v>
      </c>
      <c r="K253" s="10">
        <v>0.2172</v>
      </c>
      <c r="L253" s="9">
        <f t="shared" si="6"/>
        <v>7283.7035040000001</v>
      </c>
      <c r="M253" s="9">
        <f>ROUND(L253*0.7228,2)</f>
        <v>5264.66</v>
      </c>
      <c r="N253" s="9">
        <f t="shared" si="7"/>
        <v>2019.0435040000002</v>
      </c>
    </row>
    <row r="254" spans="1:14" x14ac:dyDescent="0.35">
      <c r="A254" s="7" t="s">
        <v>337</v>
      </c>
      <c r="B254" s="8">
        <v>45757</v>
      </c>
      <c r="C254" s="7" t="s">
        <v>52</v>
      </c>
      <c r="D254" s="7" t="s">
        <v>40</v>
      </c>
      <c r="E254" s="7" t="s">
        <v>139</v>
      </c>
      <c r="F254" s="7" t="s">
        <v>48</v>
      </c>
      <c r="G254" s="7" t="s">
        <v>49</v>
      </c>
      <c r="H254" s="7" t="s">
        <v>71</v>
      </c>
      <c r="I254" s="7">
        <v>3</v>
      </c>
      <c r="J254" s="9">
        <v>308.23</v>
      </c>
      <c r="K254" s="10">
        <v>3.9600000000000003E-2</v>
      </c>
      <c r="L254" s="9">
        <f t="shared" si="6"/>
        <v>888.0722760000001</v>
      </c>
      <c r="M254" s="9">
        <f>ROUND(L254*0.652,2)</f>
        <v>579.02</v>
      </c>
      <c r="N254" s="9">
        <f t="shared" si="7"/>
        <v>309.05227600000012</v>
      </c>
    </row>
    <row r="255" spans="1:14" x14ac:dyDescent="0.35">
      <c r="A255" s="7" t="s">
        <v>338</v>
      </c>
      <c r="B255" s="8">
        <v>45758</v>
      </c>
      <c r="C255" s="7" t="s">
        <v>76</v>
      </c>
      <c r="D255" s="7" t="s">
        <v>69</v>
      </c>
      <c r="E255" s="7" t="s">
        <v>113</v>
      </c>
      <c r="F255" s="7" t="s">
        <v>59</v>
      </c>
      <c r="G255" s="7" t="s">
        <v>43</v>
      </c>
      <c r="H255" s="7" t="s">
        <v>110</v>
      </c>
      <c r="I255" s="7">
        <v>9</v>
      </c>
      <c r="J255" s="9">
        <v>252.2</v>
      </c>
      <c r="K255" s="10">
        <v>9.7600000000000006E-2</v>
      </c>
      <c r="L255" s="9">
        <f t="shared" si="6"/>
        <v>2048.2675199999999</v>
      </c>
      <c r="M255" s="9">
        <f>ROUND(L255*0.262,2)</f>
        <v>536.65</v>
      </c>
      <c r="N255" s="9">
        <f t="shared" si="7"/>
        <v>1511.6175199999998</v>
      </c>
    </row>
    <row r="256" spans="1:14" x14ac:dyDescent="0.35">
      <c r="A256" s="7" t="s">
        <v>339</v>
      </c>
      <c r="B256" s="8">
        <v>45758</v>
      </c>
      <c r="C256" s="7" t="s">
        <v>39</v>
      </c>
      <c r="D256" s="7" t="s">
        <v>40</v>
      </c>
      <c r="E256" s="7" t="s">
        <v>41</v>
      </c>
      <c r="F256" s="7" t="s">
        <v>59</v>
      </c>
      <c r="G256" s="7" t="s">
        <v>49</v>
      </c>
      <c r="H256" s="7" t="s">
        <v>60</v>
      </c>
      <c r="I256" s="7">
        <v>5</v>
      </c>
      <c r="J256" s="9">
        <v>388.64</v>
      </c>
      <c r="K256" s="10">
        <v>0.1263</v>
      </c>
      <c r="L256" s="9">
        <f t="shared" si="6"/>
        <v>1697.7738399999998</v>
      </c>
      <c r="M256" s="9">
        <f>ROUND(L256*0.6356,2)</f>
        <v>1079.1099999999999</v>
      </c>
      <c r="N256" s="9">
        <f t="shared" si="7"/>
        <v>618.66383999999994</v>
      </c>
    </row>
    <row r="257" spans="1:14" x14ac:dyDescent="0.35">
      <c r="A257" s="7" t="s">
        <v>340</v>
      </c>
      <c r="B257" s="8">
        <v>45759</v>
      </c>
      <c r="C257" s="7" t="s">
        <v>46</v>
      </c>
      <c r="D257" s="7" t="s">
        <v>40</v>
      </c>
      <c r="E257" s="7" t="s">
        <v>41</v>
      </c>
      <c r="F257" s="7" t="s">
        <v>59</v>
      </c>
      <c r="G257" s="7" t="s">
        <v>49</v>
      </c>
      <c r="H257" s="7" t="s">
        <v>50</v>
      </c>
      <c r="I257" s="7">
        <v>9</v>
      </c>
      <c r="J257" s="9">
        <v>384.65</v>
      </c>
      <c r="K257" s="10">
        <v>0.1081</v>
      </c>
      <c r="L257" s="9">
        <f t="shared" si="6"/>
        <v>3087.6240149999999</v>
      </c>
      <c r="M257" s="9">
        <f>ROUND(L257*0.6422,2)</f>
        <v>1982.87</v>
      </c>
      <c r="N257" s="9">
        <f t="shared" si="7"/>
        <v>1104.754015</v>
      </c>
    </row>
    <row r="258" spans="1:14" x14ac:dyDescent="0.35">
      <c r="A258" s="7" t="s">
        <v>341</v>
      </c>
      <c r="B258" s="8">
        <v>45759</v>
      </c>
      <c r="C258" s="7" t="s">
        <v>39</v>
      </c>
      <c r="D258" s="7" t="s">
        <v>66</v>
      </c>
      <c r="E258" s="7" t="s">
        <v>137</v>
      </c>
      <c r="F258" s="7" t="s">
        <v>48</v>
      </c>
      <c r="G258" s="7" t="s">
        <v>49</v>
      </c>
      <c r="H258" s="7" t="s">
        <v>44</v>
      </c>
      <c r="I258" s="7">
        <v>2</v>
      </c>
      <c r="J258" s="9">
        <v>156.53</v>
      </c>
      <c r="K258" s="10">
        <v>2.3E-2</v>
      </c>
      <c r="L258" s="9">
        <f t="shared" ref="L258:L321" si="8">I258*J258*(1-K258)</f>
        <v>305.85962000000001</v>
      </c>
      <c r="M258" s="9">
        <f>ROUND(L258*0.6033,2)</f>
        <v>184.53</v>
      </c>
      <c r="N258" s="9">
        <f t="shared" ref="N258:N321" si="9">L258-M258</f>
        <v>121.32962000000001</v>
      </c>
    </row>
    <row r="259" spans="1:14" x14ac:dyDescent="0.35">
      <c r="A259" s="7" t="s">
        <v>342</v>
      </c>
      <c r="B259" s="8">
        <v>45759</v>
      </c>
      <c r="C259" s="7" t="s">
        <v>76</v>
      </c>
      <c r="D259" s="7" t="s">
        <v>66</v>
      </c>
      <c r="E259" s="7" t="s">
        <v>67</v>
      </c>
      <c r="F259" s="7" t="s">
        <v>48</v>
      </c>
      <c r="G259" s="7" t="s">
        <v>55</v>
      </c>
      <c r="H259" s="7" t="s">
        <v>78</v>
      </c>
      <c r="I259" s="7">
        <v>1</v>
      </c>
      <c r="J259" s="9">
        <v>90.29</v>
      </c>
      <c r="K259" s="10">
        <v>3.8800000000000001E-2</v>
      </c>
      <c r="L259" s="9">
        <f t="shared" si="8"/>
        <v>86.786748000000017</v>
      </c>
      <c r="M259" s="9">
        <f>ROUND(L259*0.6072,2)</f>
        <v>52.7</v>
      </c>
      <c r="N259" s="9">
        <f t="shared" si="9"/>
        <v>34.086748000000014</v>
      </c>
    </row>
    <row r="260" spans="1:14" x14ac:dyDescent="0.35">
      <c r="A260" s="7" t="s">
        <v>343</v>
      </c>
      <c r="B260" s="8">
        <v>45759</v>
      </c>
      <c r="C260" s="7" t="s">
        <v>46</v>
      </c>
      <c r="D260" s="7" t="s">
        <v>40</v>
      </c>
      <c r="E260" s="7" t="s">
        <v>47</v>
      </c>
      <c r="F260" s="7" t="s">
        <v>42</v>
      </c>
      <c r="G260" s="7" t="s">
        <v>43</v>
      </c>
      <c r="H260" s="7" t="s">
        <v>95</v>
      </c>
      <c r="I260" s="7">
        <v>21</v>
      </c>
      <c r="J260" s="9">
        <v>243.92</v>
      </c>
      <c r="K260" s="10">
        <v>0.1104</v>
      </c>
      <c r="L260" s="9">
        <f t="shared" si="8"/>
        <v>4556.8158719999992</v>
      </c>
      <c r="M260" s="9">
        <f>ROUND(L260*0.627,2)</f>
        <v>2857.12</v>
      </c>
      <c r="N260" s="9">
        <f t="shared" si="9"/>
        <v>1699.6958719999993</v>
      </c>
    </row>
    <row r="261" spans="1:14" x14ac:dyDescent="0.35">
      <c r="A261" s="7" t="s">
        <v>344</v>
      </c>
      <c r="B261" s="8">
        <v>45760</v>
      </c>
      <c r="C261" s="7" t="s">
        <v>46</v>
      </c>
      <c r="D261" s="7" t="s">
        <v>53</v>
      </c>
      <c r="E261" s="7" t="s">
        <v>87</v>
      </c>
      <c r="F261" s="7" t="s">
        <v>48</v>
      </c>
      <c r="G261" s="7" t="s">
        <v>55</v>
      </c>
      <c r="H261" s="7" t="s">
        <v>74</v>
      </c>
      <c r="I261" s="7">
        <v>2</v>
      </c>
      <c r="J261" s="9">
        <v>924.71</v>
      </c>
      <c r="K261" s="10">
        <v>4.4900000000000002E-2</v>
      </c>
      <c r="L261" s="9">
        <f t="shared" si="8"/>
        <v>1766.381042</v>
      </c>
      <c r="M261" s="9">
        <f>ROUND(L261*0.7078,2)</f>
        <v>1250.24</v>
      </c>
      <c r="N261" s="9">
        <f t="shared" si="9"/>
        <v>516.14104199999997</v>
      </c>
    </row>
    <row r="262" spans="1:14" x14ac:dyDescent="0.35">
      <c r="A262" s="7" t="s">
        <v>345</v>
      </c>
      <c r="B262" s="8">
        <v>45760</v>
      </c>
      <c r="C262" s="7" t="s">
        <v>76</v>
      </c>
      <c r="D262" s="7" t="s">
        <v>53</v>
      </c>
      <c r="E262" s="7" t="s">
        <v>87</v>
      </c>
      <c r="F262" s="7" t="s">
        <v>59</v>
      </c>
      <c r="G262" s="7" t="s">
        <v>43</v>
      </c>
      <c r="H262" s="7" t="s">
        <v>151</v>
      </c>
      <c r="I262" s="7">
        <v>8</v>
      </c>
      <c r="J262" s="9">
        <v>872.83</v>
      </c>
      <c r="K262" s="10">
        <v>0.12230000000000001</v>
      </c>
      <c r="L262" s="9">
        <f t="shared" si="8"/>
        <v>6128.6631280000001</v>
      </c>
      <c r="M262" s="9">
        <f>ROUND(L262*0.7274,2)</f>
        <v>4457.99</v>
      </c>
      <c r="N262" s="9">
        <f t="shared" si="9"/>
        <v>1670.6731280000004</v>
      </c>
    </row>
    <row r="263" spans="1:14" x14ac:dyDescent="0.35">
      <c r="A263" s="7" t="s">
        <v>346</v>
      </c>
      <c r="B263" s="8">
        <v>45760</v>
      </c>
      <c r="C263" s="7" t="s">
        <v>52</v>
      </c>
      <c r="D263" s="7" t="s">
        <v>40</v>
      </c>
      <c r="E263" s="7" t="s">
        <v>91</v>
      </c>
      <c r="F263" s="7" t="s">
        <v>42</v>
      </c>
      <c r="G263" s="7" t="s">
        <v>43</v>
      </c>
      <c r="H263" s="7" t="s">
        <v>83</v>
      </c>
      <c r="I263" s="7">
        <v>30</v>
      </c>
      <c r="J263" s="9">
        <v>124.48</v>
      </c>
      <c r="K263" s="10">
        <v>0.18640000000000001</v>
      </c>
      <c r="L263" s="9">
        <f t="shared" si="8"/>
        <v>3038.3078399999999</v>
      </c>
      <c r="M263" s="9">
        <f>ROUND(L263*0.663,2)</f>
        <v>2014.4</v>
      </c>
      <c r="N263" s="9">
        <f t="shared" si="9"/>
        <v>1023.9078399999999</v>
      </c>
    </row>
    <row r="264" spans="1:14" x14ac:dyDescent="0.35">
      <c r="A264" s="7" t="s">
        <v>347</v>
      </c>
      <c r="B264" s="8">
        <v>45760</v>
      </c>
      <c r="C264" s="7" t="s">
        <v>76</v>
      </c>
      <c r="D264" s="7" t="s">
        <v>53</v>
      </c>
      <c r="E264" s="7" t="s">
        <v>81</v>
      </c>
      <c r="F264" s="7" t="s">
        <v>59</v>
      </c>
      <c r="G264" s="7" t="s">
        <v>49</v>
      </c>
      <c r="H264" s="7" t="s">
        <v>110</v>
      </c>
      <c r="I264" s="7">
        <v>3</v>
      </c>
      <c r="J264" s="9">
        <v>1064.56</v>
      </c>
      <c r="K264" s="10">
        <v>0.11700000000000001</v>
      </c>
      <c r="L264" s="9">
        <f t="shared" si="8"/>
        <v>2820.01944</v>
      </c>
      <c r="M264" s="9">
        <f>ROUND(L264*0.7352,2)</f>
        <v>2073.2800000000002</v>
      </c>
      <c r="N264" s="9">
        <f t="shared" si="9"/>
        <v>746.73943999999983</v>
      </c>
    </row>
    <row r="265" spans="1:14" x14ac:dyDescent="0.35">
      <c r="A265" s="7" t="s">
        <v>348</v>
      </c>
      <c r="B265" s="8">
        <v>45760</v>
      </c>
      <c r="C265" s="7" t="s">
        <v>52</v>
      </c>
      <c r="D265" s="7" t="s">
        <v>40</v>
      </c>
      <c r="E265" s="7" t="s">
        <v>62</v>
      </c>
      <c r="F265" s="7" t="s">
        <v>48</v>
      </c>
      <c r="G265" s="7" t="s">
        <v>55</v>
      </c>
      <c r="H265" s="7" t="s">
        <v>56</v>
      </c>
      <c r="I265" s="7">
        <v>1</v>
      </c>
      <c r="J265" s="9">
        <v>193.27</v>
      </c>
      <c r="K265" s="10">
        <v>5.2299999999999999E-2</v>
      </c>
      <c r="L265" s="9">
        <f t="shared" si="8"/>
        <v>183.161979</v>
      </c>
      <c r="M265" s="9">
        <f>ROUND(L265*0.624,2)</f>
        <v>114.29</v>
      </c>
      <c r="N265" s="9">
        <f t="shared" si="9"/>
        <v>68.871978999999996</v>
      </c>
    </row>
    <row r="266" spans="1:14" x14ac:dyDescent="0.35">
      <c r="A266" s="7" t="s">
        <v>349</v>
      </c>
      <c r="B266" s="8">
        <v>45760</v>
      </c>
      <c r="C266" s="7" t="s">
        <v>46</v>
      </c>
      <c r="D266" s="7" t="s">
        <v>69</v>
      </c>
      <c r="E266" s="7" t="s">
        <v>132</v>
      </c>
      <c r="F266" s="7" t="s">
        <v>59</v>
      </c>
      <c r="G266" s="7" t="s">
        <v>43</v>
      </c>
      <c r="H266" s="7" t="s">
        <v>50</v>
      </c>
      <c r="I266" s="7">
        <v>8</v>
      </c>
      <c r="J266" s="9">
        <v>78.06</v>
      </c>
      <c r="K266" s="10">
        <v>0.1172</v>
      </c>
      <c r="L266" s="9">
        <f t="shared" si="8"/>
        <v>551.29094400000008</v>
      </c>
      <c r="M266" s="9">
        <f>ROUND(L266*0.2387,2)</f>
        <v>131.59</v>
      </c>
      <c r="N266" s="9">
        <f t="shared" si="9"/>
        <v>419.70094400000005</v>
      </c>
    </row>
    <row r="267" spans="1:14" x14ac:dyDescent="0.35">
      <c r="A267" s="7" t="s">
        <v>350</v>
      </c>
      <c r="B267" s="8">
        <v>45760</v>
      </c>
      <c r="C267" s="7" t="s">
        <v>39</v>
      </c>
      <c r="D267" s="7" t="s">
        <v>66</v>
      </c>
      <c r="E267" s="7" t="s">
        <v>73</v>
      </c>
      <c r="F267" s="7" t="s">
        <v>42</v>
      </c>
      <c r="G267" s="7" t="s">
        <v>43</v>
      </c>
      <c r="H267" s="7" t="s">
        <v>60</v>
      </c>
      <c r="I267" s="7">
        <v>8</v>
      </c>
      <c r="J267" s="9">
        <v>38.56</v>
      </c>
      <c r="K267" s="10">
        <v>0.1749</v>
      </c>
      <c r="L267" s="9">
        <f t="shared" si="8"/>
        <v>254.526848</v>
      </c>
      <c r="M267" s="9">
        <f>ROUND(L267*0.5711,2)</f>
        <v>145.36000000000001</v>
      </c>
      <c r="N267" s="9">
        <f t="shared" si="9"/>
        <v>109.16684799999999</v>
      </c>
    </row>
    <row r="268" spans="1:14" x14ac:dyDescent="0.35">
      <c r="A268" s="7" t="s">
        <v>351</v>
      </c>
      <c r="B268" s="8">
        <v>45761</v>
      </c>
      <c r="C268" s="7" t="s">
        <v>52</v>
      </c>
      <c r="D268" s="7" t="s">
        <v>69</v>
      </c>
      <c r="E268" s="7" t="s">
        <v>132</v>
      </c>
      <c r="F268" s="7" t="s">
        <v>48</v>
      </c>
      <c r="G268" s="7" t="s">
        <v>55</v>
      </c>
      <c r="H268" s="7" t="s">
        <v>56</v>
      </c>
      <c r="I268" s="7">
        <v>3</v>
      </c>
      <c r="J268" s="9">
        <v>81.599999999999994</v>
      </c>
      <c r="K268" s="10">
        <v>6.8199999999999997E-2</v>
      </c>
      <c r="L268" s="9">
        <f t="shared" si="8"/>
        <v>228.10463999999996</v>
      </c>
      <c r="M268" s="9">
        <f>ROUND(L268*0.2356,2)</f>
        <v>53.74</v>
      </c>
      <c r="N268" s="9">
        <f t="shared" si="9"/>
        <v>174.36463999999995</v>
      </c>
    </row>
    <row r="269" spans="1:14" x14ac:dyDescent="0.35">
      <c r="A269" s="7" t="s">
        <v>352</v>
      </c>
      <c r="B269" s="8">
        <v>45761</v>
      </c>
      <c r="C269" s="7" t="s">
        <v>39</v>
      </c>
      <c r="D269" s="7" t="s">
        <v>66</v>
      </c>
      <c r="E269" s="7" t="s">
        <v>77</v>
      </c>
      <c r="F269" s="7" t="s">
        <v>59</v>
      </c>
      <c r="G269" s="7" t="s">
        <v>49</v>
      </c>
      <c r="H269" s="7" t="s">
        <v>60</v>
      </c>
      <c r="I269" s="7">
        <v>4</v>
      </c>
      <c r="J269" s="9">
        <v>92.98</v>
      </c>
      <c r="K269" s="10">
        <v>7.5499999999999998E-2</v>
      </c>
      <c r="L269" s="9">
        <f t="shared" si="8"/>
        <v>343.84003999999999</v>
      </c>
      <c r="M269" s="9">
        <f>ROUND(L269*0.568,2)</f>
        <v>195.3</v>
      </c>
      <c r="N269" s="9">
        <f t="shared" si="9"/>
        <v>148.54003999999998</v>
      </c>
    </row>
    <row r="270" spans="1:14" x14ac:dyDescent="0.35">
      <c r="A270" s="7" t="s">
        <v>353</v>
      </c>
      <c r="B270" s="8">
        <v>45762</v>
      </c>
      <c r="C270" s="7" t="s">
        <v>52</v>
      </c>
      <c r="D270" s="7" t="s">
        <v>53</v>
      </c>
      <c r="E270" s="7" t="s">
        <v>87</v>
      </c>
      <c r="F270" s="7" t="s">
        <v>59</v>
      </c>
      <c r="G270" s="7" t="s">
        <v>43</v>
      </c>
      <c r="H270" s="7" t="s">
        <v>64</v>
      </c>
      <c r="I270" s="7">
        <v>7</v>
      </c>
      <c r="J270" s="9">
        <v>872.36</v>
      </c>
      <c r="K270" s="10">
        <v>8.4900000000000003E-2</v>
      </c>
      <c r="L270" s="9">
        <f t="shared" si="8"/>
        <v>5588.0764520000002</v>
      </c>
      <c r="M270" s="9">
        <f>ROUND(L270*0.6824,2)</f>
        <v>3813.3</v>
      </c>
      <c r="N270" s="9">
        <f t="shared" si="9"/>
        <v>1774.7764520000001</v>
      </c>
    </row>
    <row r="271" spans="1:14" x14ac:dyDescent="0.35">
      <c r="A271" s="7" t="s">
        <v>354</v>
      </c>
      <c r="B271" s="8">
        <v>45762</v>
      </c>
      <c r="C271" s="7" t="s">
        <v>39</v>
      </c>
      <c r="D271" s="7" t="s">
        <v>69</v>
      </c>
      <c r="E271" s="7" t="s">
        <v>107</v>
      </c>
      <c r="F271" s="7" t="s">
        <v>48</v>
      </c>
      <c r="G271" s="7" t="s">
        <v>55</v>
      </c>
      <c r="H271" s="7" t="s">
        <v>108</v>
      </c>
      <c r="I271" s="7">
        <v>2</v>
      </c>
      <c r="J271" s="9">
        <v>58.76</v>
      </c>
      <c r="K271" s="10">
        <v>1.2999999999999999E-2</v>
      </c>
      <c r="L271" s="9">
        <f t="shared" si="8"/>
        <v>115.99224</v>
      </c>
      <c r="M271" s="9">
        <f>ROUND(L271*0.2345,2)</f>
        <v>27.2</v>
      </c>
      <c r="N271" s="9">
        <f t="shared" si="9"/>
        <v>88.792239999999993</v>
      </c>
    </row>
    <row r="272" spans="1:14" x14ac:dyDescent="0.35">
      <c r="A272" s="7" t="s">
        <v>355</v>
      </c>
      <c r="B272" s="8">
        <v>45762</v>
      </c>
      <c r="C272" s="7" t="s">
        <v>52</v>
      </c>
      <c r="D272" s="7" t="s">
        <v>40</v>
      </c>
      <c r="E272" s="7" t="s">
        <v>47</v>
      </c>
      <c r="F272" s="7" t="s">
        <v>59</v>
      </c>
      <c r="G272" s="7" t="s">
        <v>43</v>
      </c>
      <c r="H272" s="7" t="s">
        <v>71</v>
      </c>
      <c r="I272" s="7">
        <v>9</v>
      </c>
      <c r="J272" s="9">
        <v>247.4</v>
      </c>
      <c r="K272" s="10">
        <v>0.12709999999999999</v>
      </c>
      <c r="L272" s="9">
        <f t="shared" si="8"/>
        <v>1943.59914</v>
      </c>
      <c r="M272" s="9">
        <f>ROUND(L272*0.6282,2)</f>
        <v>1220.97</v>
      </c>
      <c r="N272" s="9">
        <f t="shared" si="9"/>
        <v>722.62914000000001</v>
      </c>
    </row>
    <row r="273" spans="1:14" x14ac:dyDescent="0.35">
      <c r="A273" s="7" t="s">
        <v>356</v>
      </c>
      <c r="B273" s="8">
        <v>45762</v>
      </c>
      <c r="C273" s="7" t="s">
        <v>39</v>
      </c>
      <c r="D273" s="7" t="s">
        <v>40</v>
      </c>
      <c r="E273" s="7" t="s">
        <v>139</v>
      </c>
      <c r="F273" s="7" t="s">
        <v>48</v>
      </c>
      <c r="G273" s="7" t="s">
        <v>55</v>
      </c>
      <c r="H273" s="7" t="s">
        <v>108</v>
      </c>
      <c r="I273" s="7">
        <v>3</v>
      </c>
      <c r="J273" s="9">
        <v>327.20999999999998</v>
      </c>
      <c r="K273" s="10">
        <v>6.3200000000000006E-2</v>
      </c>
      <c r="L273" s="9">
        <f t="shared" si="8"/>
        <v>919.59098399999982</v>
      </c>
      <c r="M273" s="9">
        <f>ROUND(L273*0.6468,2)</f>
        <v>594.79</v>
      </c>
      <c r="N273" s="9">
        <f t="shared" si="9"/>
        <v>324.80098399999986</v>
      </c>
    </row>
    <row r="274" spans="1:14" x14ac:dyDescent="0.35">
      <c r="A274" s="7" t="s">
        <v>357</v>
      </c>
      <c r="B274" s="8">
        <v>45762</v>
      </c>
      <c r="C274" s="7" t="s">
        <v>46</v>
      </c>
      <c r="D274" s="7" t="s">
        <v>66</v>
      </c>
      <c r="E274" s="7" t="s">
        <v>98</v>
      </c>
      <c r="F274" s="7" t="s">
        <v>42</v>
      </c>
      <c r="G274" s="7" t="s">
        <v>55</v>
      </c>
      <c r="H274" s="7" t="s">
        <v>74</v>
      </c>
      <c r="I274" s="7">
        <v>28</v>
      </c>
      <c r="J274" s="9">
        <v>29.96</v>
      </c>
      <c r="K274" s="10">
        <v>8.5699999999999998E-2</v>
      </c>
      <c r="L274" s="9">
        <f t="shared" si="8"/>
        <v>766.98798399999998</v>
      </c>
      <c r="M274" s="9">
        <f>ROUND(L274*0.5748,2)</f>
        <v>440.86</v>
      </c>
      <c r="N274" s="9">
        <f t="shared" si="9"/>
        <v>326.12798399999997</v>
      </c>
    </row>
    <row r="275" spans="1:14" x14ac:dyDescent="0.35">
      <c r="A275" s="7" t="s">
        <v>358</v>
      </c>
      <c r="B275" s="8">
        <v>45763</v>
      </c>
      <c r="C275" s="7" t="s">
        <v>46</v>
      </c>
      <c r="D275" s="7" t="s">
        <v>53</v>
      </c>
      <c r="E275" s="7" t="s">
        <v>87</v>
      </c>
      <c r="F275" s="7" t="s">
        <v>59</v>
      </c>
      <c r="G275" s="7" t="s">
        <v>55</v>
      </c>
      <c r="H275" s="7" t="s">
        <v>74</v>
      </c>
      <c r="I275" s="7">
        <v>7</v>
      </c>
      <c r="J275" s="9">
        <v>866.25</v>
      </c>
      <c r="K275" s="10">
        <v>7.0699999999999999E-2</v>
      </c>
      <c r="L275" s="9">
        <f t="shared" si="8"/>
        <v>5635.0428750000001</v>
      </c>
      <c r="M275" s="9">
        <f>ROUND(L275*0.6814,2)</f>
        <v>3839.72</v>
      </c>
      <c r="N275" s="9">
        <f t="shared" si="9"/>
        <v>1795.3228750000003</v>
      </c>
    </row>
    <row r="276" spans="1:14" x14ac:dyDescent="0.35">
      <c r="A276" s="7" t="s">
        <v>359</v>
      </c>
      <c r="B276" s="8">
        <v>45763</v>
      </c>
      <c r="C276" s="7" t="s">
        <v>76</v>
      </c>
      <c r="D276" s="7" t="s">
        <v>69</v>
      </c>
      <c r="E276" s="7" t="s">
        <v>113</v>
      </c>
      <c r="F276" s="7" t="s">
        <v>48</v>
      </c>
      <c r="G276" s="7" t="s">
        <v>55</v>
      </c>
      <c r="H276" s="7" t="s">
        <v>78</v>
      </c>
      <c r="I276" s="7">
        <v>3</v>
      </c>
      <c r="J276" s="9">
        <v>245.39</v>
      </c>
      <c r="K276" s="10">
        <v>4.9000000000000002E-2</v>
      </c>
      <c r="L276" s="9">
        <f t="shared" si="8"/>
        <v>700.09766999999988</v>
      </c>
      <c r="M276" s="9">
        <f>ROUND(L276*0.219,2)</f>
        <v>153.32</v>
      </c>
      <c r="N276" s="9">
        <f t="shared" si="9"/>
        <v>546.77766999999994</v>
      </c>
    </row>
    <row r="277" spans="1:14" x14ac:dyDescent="0.35">
      <c r="A277" s="7" t="s">
        <v>360</v>
      </c>
      <c r="B277" s="8">
        <v>45764</v>
      </c>
      <c r="C277" s="7" t="s">
        <v>46</v>
      </c>
      <c r="D277" s="7" t="s">
        <v>40</v>
      </c>
      <c r="E277" s="7" t="s">
        <v>47</v>
      </c>
      <c r="F277" s="7" t="s">
        <v>59</v>
      </c>
      <c r="G277" s="7" t="s">
        <v>43</v>
      </c>
      <c r="H277" s="7" t="s">
        <v>95</v>
      </c>
      <c r="I277" s="7">
        <v>4</v>
      </c>
      <c r="J277" s="9">
        <v>241.05</v>
      </c>
      <c r="K277" s="10">
        <v>0.1535</v>
      </c>
      <c r="L277" s="9">
        <f t="shared" si="8"/>
        <v>816.19530000000009</v>
      </c>
      <c r="M277" s="9">
        <f>ROUND(L277*0.647,2)</f>
        <v>528.08000000000004</v>
      </c>
      <c r="N277" s="9">
        <f t="shared" si="9"/>
        <v>288.11530000000005</v>
      </c>
    </row>
    <row r="278" spans="1:14" x14ac:dyDescent="0.35">
      <c r="A278" s="7" t="s">
        <v>361</v>
      </c>
      <c r="B278" s="8">
        <v>45764</v>
      </c>
      <c r="C278" s="7" t="s">
        <v>39</v>
      </c>
      <c r="D278" s="7" t="s">
        <v>66</v>
      </c>
      <c r="E278" s="7" t="s">
        <v>77</v>
      </c>
      <c r="F278" s="7" t="s">
        <v>48</v>
      </c>
      <c r="G278" s="7" t="s">
        <v>55</v>
      </c>
      <c r="H278" s="7" t="s">
        <v>108</v>
      </c>
      <c r="I278" s="7">
        <v>2</v>
      </c>
      <c r="J278" s="9">
        <v>99.51</v>
      </c>
      <c r="K278" s="10">
        <v>4.3900000000000002E-2</v>
      </c>
      <c r="L278" s="9">
        <f t="shared" si="8"/>
        <v>190.28302199999999</v>
      </c>
      <c r="M278" s="9">
        <f>ROUND(L278*0.5904,2)</f>
        <v>112.34</v>
      </c>
      <c r="N278" s="9">
        <f t="shared" si="9"/>
        <v>77.943021999999985</v>
      </c>
    </row>
    <row r="279" spans="1:14" x14ac:dyDescent="0.35">
      <c r="A279" s="7" t="s">
        <v>362</v>
      </c>
      <c r="B279" s="8">
        <v>45764</v>
      </c>
      <c r="C279" s="7" t="s">
        <v>52</v>
      </c>
      <c r="D279" s="7" t="s">
        <v>66</v>
      </c>
      <c r="E279" s="7" t="s">
        <v>73</v>
      </c>
      <c r="F279" s="7" t="s">
        <v>59</v>
      </c>
      <c r="G279" s="7" t="s">
        <v>43</v>
      </c>
      <c r="H279" s="7" t="s">
        <v>71</v>
      </c>
      <c r="I279" s="7">
        <v>10</v>
      </c>
      <c r="J279" s="9">
        <v>37.520000000000003</v>
      </c>
      <c r="K279" s="10">
        <v>0.15040000000000001</v>
      </c>
      <c r="L279" s="9">
        <f t="shared" si="8"/>
        <v>318.76992000000007</v>
      </c>
      <c r="M279" s="9">
        <f>ROUND(L279*0.5911,2)</f>
        <v>188.42</v>
      </c>
      <c r="N279" s="9">
        <f t="shared" si="9"/>
        <v>130.34992000000008</v>
      </c>
    </row>
    <row r="280" spans="1:14" x14ac:dyDescent="0.35">
      <c r="A280" s="7" t="s">
        <v>363</v>
      </c>
      <c r="B280" s="8">
        <v>45765</v>
      </c>
      <c r="C280" s="7" t="s">
        <v>39</v>
      </c>
      <c r="D280" s="7" t="s">
        <v>40</v>
      </c>
      <c r="E280" s="7" t="s">
        <v>91</v>
      </c>
      <c r="F280" s="7" t="s">
        <v>59</v>
      </c>
      <c r="G280" s="7" t="s">
        <v>55</v>
      </c>
      <c r="H280" s="7" t="s">
        <v>108</v>
      </c>
      <c r="I280" s="7">
        <v>9</v>
      </c>
      <c r="J280" s="9">
        <v>129.30000000000001</v>
      </c>
      <c r="K280" s="10">
        <v>5.8700000000000002E-2</v>
      </c>
      <c r="L280" s="9">
        <f t="shared" si="8"/>
        <v>1095.3908100000001</v>
      </c>
      <c r="M280" s="9">
        <f>ROUND(L280*0.6234,2)</f>
        <v>682.87</v>
      </c>
      <c r="N280" s="9">
        <f t="shared" si="9"/>
        <v>412.5208100000001</v>
      </c>
    </row>
    <row r="281" spans="1:14" x14ac:dyDescent="0.35">
      <c r="A281" s="7" t="s">
        <v>364</v>
      </c>
      <c r="B281" s="8">
        <v>45765</v>
      </c>
      <c r="C281" s="7" t="s">
        <v>39</v>
      </c>
      <c r="D281" s="7" t="s">
        <v>66</v>
      </c>
      <c r="E281" s="7" t="s">
        <v>98</v>
      </c>
      <c r="F281" s="7" t="s">
        <v>42</v>
      </c>
      <c r="G281" s="7" t="s">
        <v>43</v>
      </c>
      <c r="H281" s="7" t="s">
        <v>44</v>
      </c>
      <c r="I281" s="7">
        <v>26</v>
      </c>
      <c r="J281" s="9">
        <v>28.21</v>
      </c>
      <c r="K281" s="10">
        <v>0.18859999999999999</v>
      </c>
      <c r="L281" s="9">
        <f t="shared" si="8"/>
        <v>595.12944400000003</v>
      </c>
      <c r="M281" s="9">
        <f>ROUND(L281*0.5959,2)</f>
        <v>354.64</v>
      </c>
      <c r="N281" s="9">
        <f t="shared" si="9"/>
        <v>240.48944400000005</v>
      </c>
    </row>
    <row r="282" spans="1:14" x14ac:dyDescent="0.35">
      <c r="A282" s="7" t="s">
        <v>365</v>
      </c>
      <c r="B282" s="8">
        <v>45765</v>
      </c>
      <c r="C282" s="7" t="s">
        <v>76</v>
      </c>
      <c r="D282" s="7" t="s">
        <v>40</v>
      </c>
      <c r="E282" s="7" t="s">
        <v>62</v>
      </c>
      <c r="F282" s="7" t="s">
        <v>42</v>
      </c>
      <c r="G282" s="7" t="s">
        <v>43</v>
      </c>
      <c r="H282" s="7" t="s">
        <v>151</v>
      </c>
      <c r="I282" s="7">
        <v>26</v>
      </c>
      <c r="J282" s="9">
        <v>199.67</v>
      </c>
      <c r="K282" s="10">
        <v>0.21729999999999999</v>
      </c>
      <c r="L282" s="9">
        <f t="shared" si="8"/>
        <v>4063.3244339999997</v>
      </c>
      <c r="M282" s="9">
        <f>ROUND(L282*0.6149,2)</f>
        <v>2498.54</v>
      </c>
      <c r="N282" s="9">
        <f t="shared" si="9"/>
        <v>1564.7844339999997</v>
      </c>
    </row>
    <row r="283" spans="1:14" x14ac:dyDescent="0.35">
      <c r="A283" s="7" t="s">
        <v>366</v>
      </c>
      <c r="B283" s="8">
        <v>45765</v>
      </c>
      <c r="C283" s="7" t="s">
        <v>46</v>
      </c>
      <c r="D283" s="7" t="s">
        <v>53</v>
      </c>
      <c r="E283" s="7" t="s">
        <v>87</v>
      </c>
      <c r="F283" s="7" t="s">
        <v>59</v>
      </c>
      <c r="G283" s="7" t="s">
        <v>49</v>
      </c>
      <c r="H283" s="7" t="s">
        <v>95</v>
      </c>
      <c r="I283" s="7">
        <v>3</v>
      </c>
      <c r="J283" s="9">
        <v>840.35</v>
      </c>
      <c r="K283" s="10">
        <v>6.8000000000000005E-2</v>
      </c>
      <c r="L283" s="9">
        <f t="shared" si="8"/>
        <v>2349.6186000000002</v>
      </c>
      <c r="M283" s="9">
        <f>ROUND(L283*0.7302,2)</f>
        <v>1715.69</v>
      </c>
      <c r="N283" s="9">
        <f t="shared" si="9"/>
        <v>633.92860000000019</v>
      </c>
    </row>
    <row r="284" spans="1:14" x14ac:dyDescent="0.35">
      <c r="A284" s="7" t="s">
        <v>367</v>
      </c>
      <c r="B284" s="8">
        <v>45766</v>
      </c>
      <c r="C284" s="7" t="s">
        <v>39</v>
      </c>
      <c r="D284" s="7" t="s">
        <v>69</v>
      </c>
      <c r="E284" s="7" t="s">
        <v>70</v>
      </c>
      <c r="F284" s="7" t="s">
        <v>42</v>
      </c>
      <c r="G284" s="7" t="s">
        <v>43</v>
      </c>
      <c r="H284" s="7" t="s">
        <v>44</v>
      </c>
      <c r="I284" s="7">
        <v>17</v>
      </c>
      <c r="J284" s="9">
        <v>142.47</v>
      </c>
      <c r="K284" s="10">
        <v>0.1399</v>
      </c>
      <c r="L284" s="9">
        <f t="shared" si="8"/>
        <v>2083.1535989999998</v>
      </c>
      <c r="M284" s="9">
        <f>ROUND(L284*0.2442,2)</f>
        <v>508.71</v>
      </c>
      <c r="N284" s="9">
        <f t="shared" si="9"/>
        <v>1574.4435989999997</v>
      </c>
    </row>
    <row r="285" spans="1:14" x14ac:dyDescent="0.35">
      <c r="A285" s="7" t="s">
        <v>368</v>
      </c>
      <c r="B285" s="8">
        <v>45766</v>
      </c>
      <c r="C285" s="7" t="s">
        <v>46</v>
      </c>
      <c r="D285" s="7" t="s">
        <v>66</v>
      </c>
      <c r="E285" s="7" t="s">
        <v>73</v>
      </c>
      <c r="F285" s="7" t="s">
        <v>59</v>
      </c>
      <c r="G285" s="7" t="s">
        <v>49</v>
      </c>
      <c r="H285" s="7" t="s">
        <v>50</v>
      </c>
      <c r="I285" s="7">
        <v>4</v>
      </c>
      <c r="J285" s="9">
        <v>37.54</v>
      </c>
      <c r="K285" s="10">
        <v>0.14149999999999999</v>
      </c>
      <c r="L285" s="9">
        <f t="shared" si="8"/>
        <v>128.91236000000001</v>
      </c>
      <c r="M285" s="9">
        <f>ROUND(L285*0.5917,2)</f>
        <v>76.28</v>
      </c>
      <c r="N285" s="9">
        <f t="shared" si="9"/>
        <v>52.632360000000006</v>
      </c>
    </row>
    <row r="286" spans="1:14" x14ac:dyDescent="0.35">
      <c r="A286" s="7" t="s">
        <v>369</v>
      </c>
      <c r="B286" s="8">
        <v>45766</v>
      </c>
      <c r="C286" s="7" t="s">
        <v>46</v>
      </c>
      <c r="D286" s="7" t="s">
        <v>66</v>
      </c>
      <c r="E286" s="7" t="s">
        <v>73</v>
      </c>
      <c r="F286" s="7" t="s">
        <v>48</v>
      </c>
      <c r="G286" s="7" t="s">
        <v>49</v>
      </c>
      <c r="H286" s="7" t="s">
        <v>50</v>
      </c>
      <c r="I286" s="7">
        <v>2</v>
      </c>
      <c r="J286" s="9">
        <v>38.270000000000003</v>
      </c>
      <c r="K286" s="10">
        <v>7.0800000000000002E-2</v>
      </c>
      <c r="L286" s="9">
        <f t="shared" si="8"/>
        <v>71.120968000000005</v>
      </c>
      <c r="M286" s="9">
        <f>ROUND(L286*0.5861,2)</f>
        <v>41.68</v>
      </c>
      <c r="N286" s="9">
        <f t="shared" si="9"/>
        <v>29.440968000000005</v>
      </c>
    </row>
    <row r="287" spans="1:14" x14ac:dyDescent="0.35">
      <c r="A287" s="7" t="s">
        <v>370</v>
      </c>
      <c r="B287" s="8">
        <v>45766</v>
      </c>
      <c r="C287" s="7" t="s">
        <v>39</v>
      </c>
      <c r="D287" s="7" t="s">
        <v>40</v>
      </c>
      <c r="E287" s="7" t="s">
        <v>62</v>
      </c>
      <c r="F287" s="7" t="s">
        <v>59</v>
      </c>
      <c r="G287" s="7" t="s">
        <v>55</v>
      </c>
      <c r="H287" s="7" t="s">
        <v>108</v>
      </c>
      <c r="I287" s="7">
        <v>6</v>
      </c>
      <c r="J287" s="9">
        <v>198.32</v>
      </c>
      <c r="K287" s="10">
        <v>7.0400000000000004E-2</v>
      </c>
      <c r="L287" s="9">
        <f t="shared" si="8"/>
        <v>1106.1496320000001</v>
      </c>
      <c r="M287" s="9">
        <f>ROUND(L287*0.6618,2)</f>
        <v>732.05</v>
      </c>
      <c r="N287" s="9">
        <f t="shared" si="9"/>
        <v>374.09963200000016</v>
      </c>
    </row>
    <row r="288" spans="1:14" x14ac:dyDescent="0.35">
      <c r="A288" s="7" t="s">
        <v>371</v>
      </c>
      <c r="B288" s="8">
        <v>45767</v>
      </c>
      <c r="C288" s="7" t="s">
        <v>52</v>
      </c>
      <c r="D288" s="7" t="s">
        <v>66</v>
      </c>
      <c r="E288" s="7" t="s">
        <v>137</v>
      </c>
      <c r="F288" s="7" t="s">
        <v>59</v>
      </c>
      <c r="G288" s="7" t="s">
        <v>43</v>
      </c>
      <c r="H288" s="7" t="s">
        <v>64</v>
      </c>
      <c r="I288" s="7">
        <v>7</v>
      </c>
      <c r="J288" s="9">
        <v>159.35</v>
      </c>
      <c r="K288" s="10">
        <v>0.1295</v>
      </c>
      <c r="L288" s="9">
        <f t="shared" si="8"/>
        <v>970.99922500000014</v>
      </c>
      <c r="M288" s="9">
        <f>ROUND(L288*0.5637,2)</f>
        <v>547.35</v>
      </c>
      <c r="N288" s="9">
        <f t="shared" si="9"/>
        <v>423.64922500000011</v>
      </c>
    </row>
    <row r="289" spans="1:14" x14ac:dyDescent="0.35">
      <c r="A289" s="7" t="s">
        <v>372</v>
      </c>
      <c r="B289" s="8">
        <v>45767</v>
      </c>
      <c r="C289" s="7" t="s">
        <v>39</v>
      </c>
      <c r="D289" s="7" t="s">
        <v>66</v>
      </c>
      <c r="E289" s="7" t="s">
        <v>137</v>
      </c>
      <c r="F289" s="7" t="s">
        <v>48</v>
      </c>
      <c r="G289" s="7" t="s">
        <v>55</v>
      </c>
      <c r="H289" s="7" t="s">
        <v>108</v>
      </c>
      <c r="I289" s="7">
        <v>3</v>
      </c>
      <c r="J289" s="9">
        <v>157.1</v>
      </c>
      <c r="K289" s="10">
        <v>3.5000000000000003E-2</v>
      </c>
      <c r="L289" s="9">
        <f t="shared" si="8"/>
        <v>454.80449999999996</v>
      </c>
      <c r="M289" s="9">
        <f>ROUND(L289*0.5823,2)</f>
        <v>264.83</v>
      </c>
      <c r="N289" s="9">
        <f t="shared" si="9"/>
        <v>189.97449999999998</v>
      </c>
    </row>
    <row r="290" spans="1:14" x14ac:dyDescent="0.35">
      <c r="A290" s="7" t="s">
        <v>373</v>
      </c>
      <c r="B290" s="8">
        <v>45768</v>
      </c>
      <c r="C290" s="7" t="s">
        <v>52</v>
      </c>
      <c r="D290" s="7" t="s">
        <v>53</v>
      </c>
      <c r="E290" s="7" t="s">
        <v>54</v>
      </c>
      <c r="F290" s="7" t="s">
        <v>59</v>
      </c>
      <c r="G290" s="7" t="s">
        <v>55</v>
      </c>
      <c r="H290" s="7" t="s">
        <v>56</v>
      </c>
      <c r="I290" s="7">
        <v>8</v>
      </c>
      <c r="J290" s="9">
        <v>1273.06</v>
      </c>
      <c r="K290" s="10">
        <v>6.1699999999999998E-2</v>
      </c>
      <c r="L290" s="9">
        <f t="shared" si="8"/>
        <v>9556.0975839999992</v>
      </c>
      <c r="M290" s="9">
        <f>ROUND(L290*0.7342,2)</f>
        <v>7016.09</v>
      </c>
      <c r="N290" s="9">
        <f t="shared" si="9"/>
        <v>2540.007583999999</v>
      </c>
    </row>
    <row r="291" spans="1:14" x14ac:dyDescent="0.35">
      <c r="A291" s="7" t="s">
        <v>374</v>
      </c>
      <c r="B291" s="8">
        <v>45769</v>
      </c>
      <c r="C291" s="7" t="s">
        <v>52</v>
      </c>
      <c r="D291" s="7" t="s">
        <v>53</v>
      </c>
      <c r="E291" s="7" t="s">
        <v>87</v>
      </c>
      <c r="F291" s="7" t="s">
        <v>59</v>
      </c>
      <c r="G291" s="7" t="s">
        <v>43</v>
      </c>
      <c r="H291" s="7" t="s">
        <v>71</v>
      </c>
      <c r="I291" s="7">
        <v>3</v>
      </c>
      <c r="J291" s="9">
        <v>852.37</v>
      </c>
      <c r="K291" s="10">
        <v>0.14560000000000001</v>
      </c>
      <c r="L291" s="9">
        <f t="shared" si="8"/>
        <v>2184.7947840000002</v>
      </c>
      <c r="M291" s="9">
        <f>ROUND(L291*0.7132,2)</f>
        <v>1558.2</v>
      </c>
      <c r="N291" s="9">
        <f t="shared" si="9"/>
        <v>626.59478400000012</v>
      </c>
    </row>
    <row r="292" spans="1:14" x14ac:dyDescent="0.35">
      <c r="A292" s="7" t="s">
        <v>375</v>
      </c>
      <c r="B292" s="8">
        <v>45769</v>
      </c>
      <c r="C292" s="7" t="s">
        <v>46</v>
      </c>
      <c r="D292" s="7" t="s">
        <v>40</v>
      </c>
      <c r="E292" s="7" t="s">
        <v>139</v>
      </c>
      <c r="F292" s="7" t="s">
        <v>59</v>
      </c>
      <c r="G292" s="7" t="s">
        <v>49</v>
      </c>
      <c r="H292" s="7" t="s">
        <v>50</v>
      </c>
      <c r="I292" s="7">
        <v>3</v>
      </c>
      <c r="J292" s="9">
        <v>326.68</v>
      </c>
      <c r="K292" s="10">
        <v>0.1195</v>
      </c>
      <c r="L292" s="9">
        <f t="shared" si="8"/>
        <v>862.92522000000008</v>
      </c>
      <c r="M292" s="9">
        <f>ROUND(L292*0.612,2)</f>
        <v>528.11</v>
      </c>
      <c r="N292" s="9">
        <f t="shared" si="9"/>
        <v>334.81522000000007</v>
      </c>
    </row>
    <row r="293" spans="1:14" x14ac:dyDescent="0.35">
      <c r="A293" s="7" t="s">
        <v>376</v>
      </c>
      <c r="B293" s="8">
        <v>45770</v>
      </c>
      <c r="C293" s="7" t="s">
        <v>52</v>
      </c>
      <c r="D293" s="7" t="s">
        <v>66</v>
      </c>
      <c r="E293" s="7" t="s">
        <v>98</v>
      </c>
      <c r="F293" s="7" t="s">
        <v>59</v>
      </c>
      <c r="G293" s="7" t="s">
        <v>49</v>
      </c>
      <c r="H293" s="7" t="s">
        <v>64</v>
      </c>
      <c r="I293" s="7">
        <v>9</v>
      </c>
      <c r="J293" s="9">
        <v>27.53</v>
      </c>
      <c r="K293" s="10">
        <v>8.5699999999999998E-2</v>
      </c>
      <c r="L293" s="9">
        <f t="shared" si="8"/>
        <v>226.53611100000001</v>
      </c>
      <c r="M293" s="9">
        <f>ROUND(L293*0.5863,2)</f>
        <v>132.82</v>
      </c>
      <c r="N293" s="9">
        <f t="shared" si="9"/>
        <v>93.716111000000012</v>
      </c>
    </row>
    <row r="294" spans="1:14" x14ac:dyDescent="0.35">
      <c r="A294" s="7" t="s">
        <v>377</v>
      </c>
      <c r="B294" s="8">
        <v>45771</v>
      </c>
      <c r="C294" s="7" t="s">
        <v>52</v>
      </c>
      <c r="D294" s="7" t="s">
        <v>66</v>
      </c>
      <c r="E294" s="7" t="s">
        <v>137</v>
      </c>
      <c r="F294" s="7" t="s">
        <v>59</v>
      </c>
      <c r="G294" s="7" t="s">
        <v>49</v>
      </c>
      <c r="H294" s="7" t="s">
        <v>83</v>
      </c>
      <c r="I294" s="7">
        <v>9</v>
      </c>
      <c r="J294" s="9">
        <v>152.69999999999999</v>
      </c>
      <c r="K294" s="10">
        <v>7.9100000000000004E-2</v>
      </c>
      <c r="L294" s="9">
        <f t="shared" si="8"/>
        <v>1265.5928699999999</v>
      </c>
      <c r="M294" s="9">
        <f>ROUND(L294*0.5897,2)</f>
        <v>746.32</v>
      </c>
      <c r="N294" s="9">
        <f t="shared" si="9"/>
        <v>519.2728699999999</v>
      </c>
    </row>
    <row r="295" spans="1:14" x14ac:dyDescent="0.35">
      <c r="A295" s="7" t="s">
        <v>378</v>
      </c>
      <c r="B295" s="8">
        <v>45771</v>
      </c>
      <c r="C295" s="7" t="s">
        <v>39</v>
      </c>
      <c r="D295" s="7" t="s">
        <v>69</v>
      </c>
      <c r="E295" s="7" t="s">
        <v>113</v>
      </c>
      <c r="F295" s="7" t="s">
        <v>59</v>
      </c>
      <c r="G295" s="7" t="s">
        <v>49</v>
      </c>
      <c r="H295" s="7" t="s">
        <v>60</v>
      </c>
      <c r="I295" s="7">
        <v>7</v>
      </c>
      <c r="J295" s="9">
        <v>232</v>
      </c>
      <c r="K295" s="10">
        <v>9.8599999999999993E-2</v>
      </c>
      <c r="L295" s="9">
        <f t="shared" si="8"/>
        <v>1463.8735999999999</v>
      </c>
      <c r="M295" s="9">
        <f>ROUND(L295*0.2605,2)</f>
        <v>381.34</v>
      </c>
      <c r="N295" s="9">
        <f t="shared" si="9"/>
        <v>1082.5336</v>
      </c>
    </row>
    <row r="296" spans="1:14" x14ac:dyDescent="0.35">
      <c r="A296" s="7" t="s">
        <v>379</v>
      </c>
      <c r="B296" s="8">
        <v>45772</v>
      </c>
      <c r="C296" s="7" t="s">
        <v>52</v>
      </c>
      <c r="D296" s="7" t="s">
        <v>53</v>
      </c>
      <c r="E296" s="7" t="s">
        <v>54</v>
      </c>
      <c r="F296" s="7" t="s">
        <v>48</v>
      </c>
      <c r="G296" s="7" t="s">
        <v>55</v>
      </c>
      <c r="H296" s="7" t="s">
        <v>56</v>
      </c>
      <c r="I296" s="7">
        <v>2</v>
      </c>
      <c r="J296" s="9">
        <v>1310.91</v>
      </c>
      <c r="K296" s="10">
        <v>3.5799999999999998E-2</v>
      </c>
      <c r="L296" s="9">
        <f t="shared" si="8"/>
        <v>2527.9588440000002</v>
      </c>
      <c r="M296" s="9">
        <f>ROUND(L296*0.688,2)</f>
        <v>1739.24</v>
      </c>
      <c r="N296" s="9">
        <f t="shared" si="9"/>
        <v>788.71884400000022</v>
      </c>
    </row>
    <row r="297" spans="1:14" x14ac:dyDescent="0.35">
      <c r="A297" s="7" t="s">
        <v>380</v>
      </c>
      <c r="B297" s="8">
        <v>45772</v>
      </c>
      <c r="C297" s="7" t="s">
        <v>52</v>
      </c>
      <c r="D297" s="7" t="s">
        <v>66</v>
      </c>
      <c r="E297" s="7" t="s">
        <v>98</v>
      </c>
      <c r="F297" s="7" t="s">
        <v>59</v>
      </c>
      <c r="G297" s="7" t="s">
        <v>55</v>
      </c>
      <c r="H297" s="7" t="s">
        <v>56</v>
      </c>
      <c r="I297" s="7">
        <v>5</v>
      </c>
      <c r="J297" s="9">
        <v>29.43</v>
      </c>
      <c r="K297" s="10">
        <v>5.8099999999999999E-2</v>
      </c>
      <c r="L297" s="9">
        <f t="shared" si="8"/>
        <v>138.600585</v>
      </c>
      <c r="M297" s="9">
        <f>ROUND(L297*0.5661,2)</f>
        <v>78.459999999999994</v>
      </c>
      <c r="N297" s="9">
        <f t="shared" si="9"/>
        <v>60.140585000000002</v>
      </c>
    </row>
    <row r="298" spans="1:14" x14ac:dyDescent="0.35">
      <c r="A298" s="7" t="s">
        <v>381</v>
      </c>
      <c r="B298" s="8">
        <v>45772</v>
      </c>
      <c r="C298" s="7" t="s">
        <v>39</v>
      </c>
      <c r="D298" s="7" t="s">
        <v>40</v>
      </c>
      <c r="E298" s="7" t="s">
        <v>47</v>
      </c>
      <c r="F298" s="7" t="s">
        <v>59</v>
      </c>
      <c r="G298" s="7" t="s">
        <v>55</v>
      </c>
      <c r="H298" s="7" t="s">
        <v>108</v>
      </c>
      <c r="I298" s="7">
        <v>8</v>
      </c>
      <c r="J298" s="9">
        <v>256.22000000000003</v>
      </c>
      <c r="K298" s="10">
        <v>8.5999999999999993E-2</v>
      </c>
      <c r="L298" s="9">
        <f t="shared" si="8"/>
        <v>1873.4806400000002</v>
      </c>
      <c r="M298" s="9">
        <f>ROUND(L298*0.6619,2)</f>
        <v>1240.06</v>
      </c>
      <c r="N298" s="9">
        <f t="shared" si="9"/>
        <v>633.42064000000028</v>
      </c>
    </row>
    <row r="299" spans="1:14" x14ac:dyDescent="0.35">
      <c r="A299" s="7" t="s">
        <v>382</v>
      </c>
      <c r="B299" s="8">
        <v>45773</v>
      </c>
      <c r="C299" s="7" t="s">
        <v>52</v>
      </c>
      <c r="D299" s="7" t="s">
        <v>40</v>
      </c>
      <c r="E299" s="7" t="s">
        <v>47</v>
      </c>
      <c r="F299" s="7" t="s">
        <v>48</v>
      </c>
      <c r="G299" s="7" t="s">
        <v>55</v>
      </c>
      <c r="H299" s="7" t="s">
        <v>56</v>
      </c>
      <c r="I299" s="7">
        <v>3</v>
      </c>
      <c r="J299" s="9">
        <v>241.28</v>
      </c>
      <c r="K299" s="10">
        <v>4.1000000000000002E-2</v>
      </c>
      <c r="L299" s="9">
        <f t="shared" si="8"/>
        <v>694.16255999999998</v>
      </c>
      <c r="M299" s="9">
        <f>ROUND(L299*0.6642,2)</f>
        <v>461.06</v>
      </c>
      <c r="N299" s="9">
        <f t="shared" si="9"/>
        <v>233.10255999999998</v>
      </c>
    </row>
    <row r="300" spans="1:14" x14ac:dyDescent="0.35">
      <c r="A300" s="7" t="s">
        <v>383</v>
      </c>
      <c r="B300" s="8">
        <v>45774</v>
      </c>
      <c r="C300" s="7" t="s">
        <v>52</v>
      </c>
      <c r="D300" s="7" t="s">
        <v>40</v>
      </c>
      <c r="E300" s="7" t="s">
        <v>47</v>
      </c>
      <c r="F300" s="7" t="s">
        <v>59</v>
      </c>
      <c r="G300" s="7" t="s">
        <v>49</v>
      </c>
      <c r="H300" s="7" t="s">
        <v>64</v>
      </c>
      <c r="I300" s="7">
        <v>4</v>
      </c>
      <c r="J300" s="9">
        <v>242</v>
      </c>
      <c r="K300" s="10">
        <v>0.11550000000000001</v>
      </c>
      <c r="L300" s="9">
        <f t="shared" si="8"/>
        <v>856.19599999999991</v>
      </c>
      <c r="M300" s="9">
        <f>ROUND(L300*0.6472,2)</f>
        <v>554.13</v>
      </c>
      <c r="N300" s="9">
        <f t="shared" si="9"/>
        <v>302.06599999999992</v>
      </c>
    </row>
    <row r="301" spans="1:14" x14ac:dyDescent="0.35">
      <c r="A301" s="7" t="s">
        <v>384</v>
      </c>
      <c r="B301" s="8">
        <v>45774</v>
      </c>
      <c r="C301" s="7" t="s">
        <v>76</v>
      </c>
      <c r="D301" s="7" t="s">
        <v>66</v>
      </c>
      <c r="E301" s="7" t="s">
        <v>77</v>
      </c>
      <c r="F301" s="7" t="s">
        <v>42</v>
      </c>
      <c r="G301" s="7" t="s">
        <v>43</v>
      </c>
      <c r="H301" s="7" t="s">
        <v>110</v>
      </c>
      <c r="I301" s="7">
        <v>16</v>
      </c>
      <c r="J301" s="9">
        <v>99.68</v>
      </c>
      <c r="K301" s="10">
        <v>0.16800000000000001</v>
      </c>
      <c r="L301" s="9">
        <f t="shared" si="8"/>
        <v>1326.9401600000001</v>
      </c>
      <c r="M301" s="9">
        <f>ROUND(L301*0.5924,2)</f>
        <v>786.08</v>
      </c>
      <c r="N301" s="9">
        <f t="shared" si="9"/>
        <v>540.86016000000006</v>
      </c>
    </row>
    <row r="302" spans="1:14" x14ac:dyDescent="0.35">
      <c r="A302" s="7" t="s">
        <v>385</v>
      </c>
      <c r="B302" s="8">
        <v>45774</v>
      </c>
      <c r="C302" s="7" t="s">
        <v>52</v>
      </c>
      <c r="D302" s="7" t="s">
        <v>69</v>
      </c>
      <c r="E302" s="7" t="s">
        <v>132</v>
      </c>
      <c r="F302" s="7" t="s">
        <v>42</v>
      </c>
      <c r="G302" s="7" t="s">
        <v>43</v>
      </c>
      <c r="H302" s="7" t="s">
        <v>71</v>
      </c>
      <c r="I302" s="7">
        <v>21</v>
      </c>
      <c r="J302" s="9">
        <v>80.45</v>
      </c>
      <c r="K302" s="10">
        <v>0.1991</v>
      </c>
      <c r="L302" s="9">
        <f t="shared" si="8"/>
        <v>1353.0805049999999</v>
      </c>
      <c r="M302" s="9">
        <f>ROUND(L302*0.2598,2)</f>
        <v>351.53</v>
      </c>
      <c r="N302" s="9">
        <f t="shared" si="9"/>
        <v>1001.5505049999999</v>
      </c>
    </row>
    <row r="303" spans="1:14" x14ac:dyDescent="0.35">
      <c r="A303" s="7" t="s">
        <v>386</v>
      </c>
      <c r="B303" s="8">
        <v>45774</v>
      </c>
      <c r="C303" s="7" t="s">
        <v>52</v>
      </c>
      <c r="D303" s="7" t="s">
        <v>69</v>
      </c>
      <c r="E303" s="7" t="s">
        <v>119</v>
      </c>
      <c r="F303" s="7" t="s">
        <v>59</v>
      </c>
      <c r="G303" s="7" t="s">
        <v>49</v>
      </c>
      <c r="H303" s="7" t="s">
        <v>71</v>
      </c>
      <c r="I303" s="7">
        <v>5</v>
      </c>
      <c r="J303" s="9">
        <v>190.15</v>
      </c>
      <c r="K303" s="10">
        <v>0.11219999999999999</v>
      </c>
      <c r="L303" s="9">
        <f t="shared" si="8"/>
        <v>844.07585000000006</v>
      </c>
      <c r="M303" s="9">
        <f>ROUND(L303*0.217,2)</f>
        <v>183.16</v>
      </c>
      <c r="N303" s="9">
        <f t="shared" si="9"/>
        <v>660.91585000000009</v>
      </c>
    </row>
    <row r="304" spans="1:14" x14ac:dyDescent="0.35">
      <c r="A304" s="7" t="s">
        <v>387</v>
      </c>
      <c r="B304" s="8">
        <v>45775</v>
      </c>
      <c r="C304" s="7" t="s">
        <v>52</v>
      </c>
      <c r="D304" s="7" t="s">
        <v>53</v>
      </c>
      <c r="E304" s="7" t="s">
        <v>54</v>
      </c>
      <c r="F304" s="7" t="s">
        <v>59</v>
      </c>
      <c r="G304" s="7" t="s">
        <v>49</v>
      </c>
      <c r="H304" s="7" t="s">
        <v>83</v>
      </c>
      <c r="I304" s="7">
        <v>4</v>
      </c>
      <c r="J304" s="9">
        <v>1220.6500000000001</v>
      </c>
      <c r="K304" s="10">
        <v>9.2600000000000002E-2</v>
      </c>
      <c r="L304" s="9">
        <f t="shared" si="8"/>
        <v>4430.4712399999999</v>
      </c>
      <c r="M304" s="9">
        <f>ROUND(L304*0.7199,2)</f>
        <v>3189.5</v>
      </c>
      <c r="N304" s="9">
        <f t="shared" si="9"/>
        <v>1240.9712399999999</v>
      </c>
    </row>
    <row r="305" spans="1:14" x14ac:dyDescent="0.35">
      <c r="A305" s="7" t="s">
        <v>388</v>
      </c>
      <c r="B305" s="8">
        <v>45775</v>
      </c>
      <c r="C305" s="7" t="s">
        <v>39</v>
      </c>
      <c r="D305" s="7" t="s">
        <v>66</v>
      </c>
      <c r="E305" s="7" t="s">
        <v>73</v>
      </c>
      <c r="F305" s="7" t="s">
        <v>48</v>
      </c>
      <c r="G305" s="7" t="s">
        <v>55</v>
      </c>
      <c r="H305" s="7" t="s">
        <v>108</v>
      </c>
      <c r="I305" s="7">
        <v>2</v>
      </c>
      <c r="J305" s="9">
        <v>40.450000000000003</v>
      </c>
      <c r="K305" s="10">
        <v>3.1E-2</v>
      </c>
      <c r="L305" s="9">
        <f t="shared" si="8"/>
        <v>78.392099999999999</v>
      </c>
      <c r="M305" s="9">
        <f>ROUND(L305*0.5797,2)</f>
        <v>45.44</v>
      </c>
      <c r="N305" s="9">
        <f t="shared" si="9"/>
        <v>32.952100000000002</v>
      </c>
    </row>
    <row r="306" spans="1:14" x14ac:dyDescent="0.35">
      <c r="A306" s="7" t="s">
        <v>389</v>
      </c>
      <c r="B306" s="8">
        <v>45776</v>
      </c>
      <c r="C306" s="7" t="s">
        <v>46</v>
      </c>
      <c r="D306" s="7" t="s">
        <v>69</v>
      </c>
      <c r="E306" s="7" t="s">
        <v>70</v>
      </c>
      <c r="F306" s="7" t="s">
        <v>42</v>
      </c>
      <c r="G306" s="7" t="s">
        <v>55</v>
      </c>
      <c r="H306" s="7" t="s">
        <v>74</v>
      </c>
      <c r="I306" s="7">
        <v>13</v>
      </c>
      <c r="J306" s="9">
        <v>151.75</v>
      </c>
      <c r="K306" s="10">
        <v>0.1053</v>
      </c>
      <c r="L306" s="9">
        <f t="shared" si="8"/>
        <v>1765.0194250000002</v>
      </c>
      <c r="M306" s="9">
        <f>ROUND(L306*0.2498,2)</f>
        <v>440.9</v>
      </c>
      <c r="N306" s="9">
        <f t="shared" si="9"/>
        <v>1324.1194250000003</v>
      </c>
    </row>
    <row r="307" spans="1:14" x14ac:dyDescent="0.35">
      <c r="A307" s="7" t="s">
        <v>390</v>
      </c>
      <c r="B307" s="8">
        <v>45777</v>
      </c>
      <c r="C307" s="7" t="s">
        <v>52</v>
      </c>
      <c r="D307" s="7" t="s">
        <v>53</v>
      </c>
      <c r="E307" s="7" t="s">
        <v>58</v>
      </c>
      <c r="F307" s="7" t="s">
        <v>59</v>
      </c>
      <c r="G307" s="7" t="s">
        <v>55</v>
      </c>
      <c r="H307" s="7" t="s">
        <v>56</v>
      </c>
      <c r="I307" s="7">
        <v>10</v>
      </c>
      <c r="J307" s="9">
        <v>722.18</v>
      </c>
      <c r="K307" s="10">
        <v>7.7100000000000002E-2</v>
      </c>
      <c r="L307" s="9">
        <f t="shared" si="8"/>
        <v>6664.9992199999997</v>
      </c>
      <c r="M307" s="9">
        <f>ROUND(L307*0.7222,2)</f>
        <v>4813.46</v>
      </c>
      <c r="N307" s="9">
        <f t="shared" si="9"/>
        <v>1851.5392199999997</v>
      </c>
    </row>
    <row r="308" spans="1:14" x14ac:dyDescent="0.35">
      <c r="A308" s="7" t="s">
        <v>391</v>
      </c>
      <c r="B308" s="8">
        <v>45777</v>
      </c>
      <c r="C308" s="7" t="s">
        <v>76</v>
      </c>
      <c r="D308" s="7" t="s">
        <v>40</v>
      </c>
      <c r="E308" s="7" t="s">
        <v>139</v>
      </c>
      <c r="F308" s="7" t="s">
        <v>48</v>
      </c>
      <c r="G308" s="7" t="s">
        <v>49</v>
      </c>
      <c r="H308" s="7" t="s">
        <v>151</v>
      </c>
      <c r="I308" s="7">
        <v>2</v>
      </c>
      <c r="J308" s="9">
        <v>328.74</v>
      </c>
      <c r="K308" s="10">
        <v>4.4999999999999998E-2</v>
      </c>
      <c r="L308" s="9">
        <f t="shared" si="8"/>
        <v>627.89340000000004</v>
      </c>
      <c r="M308" s="9">
        <f>ROUND(L308*0.6413,2)</f>
        <v>402.67</v>
      </c>
      <c r="N308" s="9">
        <f t="shared" si="9"/>
        <v>225.22340000000003</v>
      </c>
    </row>
    <row r="309" spans="1:14" x14ac:dyDescent="0.35">
      <c r="A309" s="7" t="s">
        <v>392</v>
      </c>
      <c r="B309" s="8">
        <v>45777</v>
      </c>
      <c r="C309" s="7" t="s">
        <v>76</v>
      </c>
      <c r="D309" s="7" t="s">
        <v>69</v>
      </c>
      <c r="E309" s="7" t="s">
        <v>113</v>
      </c>
      <c r="F309" s="7" t="s">
        <v>42</v>
      </c>
      <c r="G309" s="7" t="s">
        <v>49</v>
      </c>
      <c r="H309" s="7" t="s">
        <v>151</v>
      </c>
      <c r="I309" s="7">
        <v>16</v>
      </c>
      <c r="J309" s="9">
        <v>235.48</v>
      </c>
      <c r="K309" s="10">
        <v>0.12620000000000001</v>
      </c>
      <c r="L309" s="9">
        <f t="shared" si="8"/>
        <v>3292.1987840000002</v>
      </c>
      <c r="M309" s="9">
        <f>ROUND(L309*0.2472,2)</f>
        <v>813.83</v>
      </c>
      <c r="N309" s="9">
        <f t="shared" si="9"/>
        <v>2478.3687840000002</v>
      </c>
    </row>
    <row r="310" spans="1:14" x14ac:dyDescent="0.35">
      <c r="A310" s="7" t="s">
        <v>393</v>
      </c>
      <c r="B310" s="8">
        <v>45778</v>
      </c>
      <c r="C310" s="7" t="s">
        <v>46</v>
      </c>
      <c r="D310" s="7" t="s">
        <v>53</v>
      </c>
      <c r="E310" s="7" t="s">
        <v>81</v>
      </c>
      <c r="F310" s="7" t="s">
        <v>42</v>
      </c>
      <c r="G310" s="7" t="s">
        <v>43</v>
      </c>
      <c r="H310" s="7" t="s">
        <v>50</v>
      </c>
      <c r="I310" s="7">
        <v>28</v>
      </c>
      <c r="J310" s="9">
        <v>1113.3</v>
      </c>
      <c r="K310" s="10">
        <v>0.2364</v>
      </c>
      <c r="L310" s="9">
        <f t="shared" si="8"/>
        <v>23803.244640000001</v>
      </c>
      <c r="M310" s="9">
        <f>ROUND(L310*0.6933,2)</f>
        <v>16502.79</v>
      </c>
      <c r="N310" s="9">
        <f t="shared" si="9"/>
        <v>7300.4546399999999</v>
      </c>
    </row>
    <row r="311" spans="1:14" x14ac:dyDescent="0.35">
      <c r="A311" s="7" t="s">
        <v>394</v>
      </c>
      <c r="B311" s="8">
        <v>45778</v>
      </c>
      <c r="C311" s="7" t="s">
        <v>76</v>
      </c>
      <c r="D311" s="7" t="s">
        <v>66</v>
      </c>
      <c r="E311" s="7" t="s">
        <v>77</v>
      </c>
      <c r="F311" s="7" t="s">
        <v>59</v>
      </c>
      <c r="G311" s="7" t="s">
        <v>43</v>
      </c>
      <c r="H311" s="7" t="s">
        <v>110</v>
      </c>
      <c r="I311" s="7">
        <v>8</v>
      </c>
      <c r="J311" s="9">
        <v>94.09</v>
      </c>
      <c r="K311" s="10">
        <v>0.1222</v>
      </c>
      <c r="L311" s="9">
        <f t="shared" si="8"/>
        <v>660.737616</v>
      </c>
      <c r="M311" s="9">
        <f>ROUND(L311*0.553,2)</f>
        <v>365.39</v>
      </c>
      <c r="N311" s="9">
        <f t="shared" si="9"/>
        <v>295.34761600000002</v>
      </c>
    </row>
    <row r="312" spans="1:14" x14ac:dyDescent="0.35">
      <c r="A312" s="7" t="s">
        <v>395</v>
      </c>
      <c r="B312" s="8">
        <v>45778</v>
      </c>
      <c r="C312" s="7" t="s">
        <v>46</v>
      </c>
      <c r="D312" s="7" t="s">
        <v>69</v>
      </c>
      <c r="E312" s="7" t="s">
        <v>119</v>
      </c>
      <c r="F312" s="7" t="s">
        <v>59</v>
      </c>
      <c r="G312" s="7" t="s">
        <v>49</v>
      </c>
      <c r="H312" s="7" t="s">
        <v>95</v>
      </c>
      <c r="I312" s="7">
        <v>5</v>
      </c>
      <c r="J312" s="9">
        <v>186.89</v>
      </c>
      <c r="K312" s="10">
        <v>8.6400000000000005E-2</v>
      </c>
      <c r="L312" s="9">
        <f t="shared" si="8"/>
        <v>853.7135199999999</v>
      </c>
      <c r="M312" s="9">
        <f>ROUND(L312*0.2284,2)</f>
        <v>194.99</v>
      </c>
      <c r="N312" s="9">
        <f t="shared" si="9"/>
        <v>658.72351999999989</v>
      </c>
    </row>
    <row r="313" spans="1:14" x14ac:dyDescent="0.35">
      <c r="A313" s="7" t="s">
        <v>396</v>
      </c>
      <c r="B313" s="8">
        <v>45778</v>
      </c>
      <c r="C313" s="7" t="s">
        <v>46</v>
      </c>
      <c r="D313" s="7" t="s">
        <v>40</v>
      </c>
      <c r="E313" s="7" t="s">
        <v>139</v>
      </c>
      <c r="F313" s="7" t="s">
        <v>48</v>
      </c>
      <c r="G313" s="7" t="s">
        <v>49</v>
      </c>
      <c r="H313" s="7" t="s">
        <v>50</v>
      </c>
      <c r="I313" s="7">
        <v>3</v>
      </c>
      <c r="J313" s="9">
        <v>312.89999999999998</v>
      </c>
      <c r="K313" s="10">
        <v>3.9300000000000002E-2</v>
      </c>
      <c r="L313" s="9">
        <f t="shared" si="8"/>
        <v>901.80908999999997</v>
      </c>
      <c r="M313" s="9">
        <f>ROUND(L313*0.6129,2)</f>
        <v>552.72</v>
      </c>
      <c r="N313" s="9">
        <f t="shared" si="9"/>
        <v>349.08908999999994</v>
      </c>
    </row>
    <row r="314" spans="1:14" x14ac:dyDescent="0.35">
      <c r="A314" s="7" t="s">
        <v>397</v>
      </c>
      <c r="B314" s="8">
        <v>45779</v>
      </c>
      <c r="C314" s="7" t="s">
        <v>76</v>
      </c>
      <c r="D314" s="7" t="s">
        <v>66</v>
      </c>
      <c r="E314" s="7" t="s">
        <v>77</v>
      </c>
      <c r="F314" s="7" t="s">
        <v>48</v>
      </c>
      <c r="G314" s="7" t="s">
        <v>55</v>
      </c>
      <c r="H314" s="7" t="s">
        <v>78</v>
      </c>
      <c r="I314" s="7">
        <v>2</v>
      </c>
      <c r="J314" s="9">
        <v>102.31</v>
      </c>
      <c r="K314" s="10">
        <v>4.4200000000000003E-2</v>
      </c>
      <c r="L314" s="9">
        <f t="shared" si="8"/>
        <v>195.575796</v>
      </c>
      <c r="M314" s="9">
        <f>ROUND(L314*0.5578,2)</f>
        <v>109.09</v>
      </c>
      <c r="N314" s="9">
        <f t="shared" si="9"/>
        <v>86.485795999999993</v>
      </c>
    </row>
    <row r="315" spans="1:14" x14ac:dyDescent="0.35">
      <c r="A315" s="7" t="s">
        <v>398</v>
      </c>
      <c r="B315" s="8">
        <v>45779</v>
      </c>
      <c r="C315" s="7" t="s">
        <v>52</v>
      </c>
      <c r="D315" s="7" t="s">
        <v>69</v>
      </c>
      <c r="E315" s="7" t="s">
        <v>119</v>
      </c>
      <c r="F315" s="7" t="s">
        <v>48</v>
      </c>
      <c r="G315" s="7" t="s">
        <v>55</v>
      </c>
      <c r="H315" s="7" t="s">
        <v>56</v>
      </c>
      <c r="I315" s="7">
        <v>1</v>
      </c>
      <c r="J315" s="9">
        <v>195.4</v>
      </c>
      <c r="K315" s="10">
        <v>4.1700000000000001E-2</v>
      </c>
      <c r="L315" s="9">
        <f t="shared" si="8"/>
        <v>187.25182000000001</v>
      </c>
      <c r="M315" s="9">
        <f>ROUND(L315*0.2403,2)</f>
        <v>45</v>
      </c>
      <c r="N315" s="9">
        <f t="shared" si="9"/>
        <v>142.25182000000001</v>
      </c>
    </row>
    <row r="316" spans="1:14" x14ac:dyDescent="0.35">
      <c r="A316" s="7" t="s">
        <v>399</v>
      </c>
      <c r="B316" s="8">
        <v>45779</v>
      </c>
      <c r="C316" s="7" t="s">
        <v>52</v>
      </c>
      <c r="D316" s="7" t="s">
        <v>53</v>
      </c>
      <c r="E316" s="7" t="s">
        <v>58</v>
      </c>
      <c r="F316" s="7" t="s">
        <v>42</v>
      </c>
      <c r="G316" s="7" t="s">
        <v>49</v>
      </c>
      <c r="H316" s="7" t="s">
        <v>83</v>
      </c>
      <c r="I316" s="7">
        <v>22</v>
      </c>
      <c r="J316" s="9">
        <v>688.14</v>
      </c>
      <c r="K316" s="10">
        <v>0.1429</v>
      </c>
      <c r="L316" s="9">
        <f t="shared" si="8"/>
        <v>12975.705468</v>
      </c>
      <c r="M316" s="9">
        <f>ROUND(L316*0.7085,2)</f>
        <v>9193.2900000000009</v>
      </c>
      <c r="N316" s="9">
        <f t="shared" si="9"/>
        <v>3782.4154679999992</v>
      </c>
    </row>
    <row r="317" spans="1:14" x14ac:dyDescent="0.35">
      <c r="A317" s="7" t="s">
        <v>400</v>
      </c>
      <c r="B317" s="8">
        <v>45779</v>
      </c>
      <c r="C317" s="7" t="s">
        <v>39</v>
      </c>
      <c r="D317" s="7" t="s">
        <v>53</v>
      </c>
      <c r="E317" s="7" t="s">
        <v>105</v>
      </c>
      <c r="F317" s="7" t="s">
        <v>59</v>
      </c>
      <c r="G317" s="7" t="s">
        <v>49</v>
      </c>
      <c r="H317" s="7" t="s">
        <v>60</v>
      </c>
      <c r="I317" s="7">
        <v>10</v>
      </c>
      <c r="J317" s="9">
        <v>431.36</v>
      </c>
      <c r="K317" s="10">
        <v>0.1051</v>
      </c>
      <c r="L317" s="9">
        <f t="shared" si="8"/>
        <v>3860.2406400000004</v>
      </c>
      <c r="M317" s="9">
        <f>ROUND(L317*0.7085,2)</f>
        <v>2734.98</v>
      </c>
      <c r="N317" s="9">
        <f t="shared" si="9"/>
        <v>1125.2606400000004</v>
      </c>
    </row>
    <row r="318" spans="1:14" x14ac:dyDescent="0.35">
      <c r="A318" s="7" t="s">
        <v>401</v>
      </c>
      <c r="B318" s="8">
        <v>45779</v>
      </c>
      <c r="C318" s="7" t="s">
        <v>46</v>
      </c>
      <c r="D318" s="7" t="s">
        <v>53</v>
      </c>
      <c r="E318" s="7" t="s">
        <v>81</v>
      </c>
      <c r="F318" s="7" t="s">
        <v>59</v>
      </c>
      <c r="G318" s="7" t="s">
        <v>43</v>
      </c>
      <c r="H318" s="7" t="s">
        <v>95</v>
      </c>
      <c r="I318" s="7">
        <v>7</v>
      </c>
      <c r="J318" s="9">
        <v>1062.1400000000001</v>
      </c>
      <c r="K318" s="10">
        <v>0.1133</v>
      </c>
      <c r="L318" s="9">
        <f t="shared" si="8"/>
        <v>6592.5967660000006</v>
      </c>
      <c r="M318" s="9">
        <f>ROUND(L318*0.6805,2)</f>
        <v>4486.26</v>
      </c>
      <c r="N318" s="9">
        <f t="shared" si="9"/>
        <v>2106.3367660000004</v>
      </c>
    </row>
    <row r="319" spans="1:14" x14ac:dyDescent="0.35">
      <c r="A319" s="7" t="s">
        <v>402</v>
      </c>
      <c r="B319" s="8">
        <v>45780</v>
      </c>
      <c r="C319" s="7" t="s">
        <v>39</v>
      </c>
      <c r="D319" s="7" t="s">
        <v>69</v>
      </c>
      <c r="E319" s="7" t="s">
        <v>70</v>
      </c>
      <c r="F319" s="7" t="s">
        <v>59</v>
      </c>
      <c r="G319" s="7" t="s">
        <v>49</v>
      </c>
      <c r="H319" s="7" t="s">
        <v>60</v>
      </c>
      <c r="I319" s="7">
        <v>10</v>
      </c>
      <c r="J319" s="9">
        <v>141.91</v>
      </c>
      <c r="K319" s="10">
        <v>0.1018</v>
      </c>
      <c r="L319" s="9">
        <f t="shared" si="8"/>
        <v>1274.63562</v>
      </c>
      <c r="M319" s="9">
        <f>ROUND(L319*0.2201,2)</f>
        <v>280.55</v>
      </c>
      <c r="N319" s="9">
        <f t="shared" si="9"/>
        <v>994.08562000000006</v>
      </c>
    </row>
    <row r="320" spans="1:14" x14ac:dyDescent="0.35">
      <c r="A320" s="7" t="s">
        <v>403</v>
      </c>
      <c r="B320" s="8">
        <v>45780</v>
      </c>
      <c r="C320" s="7" t="s">
        <v>76</v>
      </c>
      <c r="D320" s="7" t="s">
        <v>66</v>
      </c>
      <c r="E320" s="7" t="s">
        <v>137</v>
      </c>
      <c r="F320" s="7" t="s">
        <v>59</v>
      </c>
      <c r="G320" s="7" t="s">
        <v>43</v>
      </c>
      <c r="H320" s="7" t="s">
        <v>110</v>
      </c>
      <c r="I320" s="7">
        <v>5</v>
      </c>
      <c r="J320" s="9">
        <v>151.08000000000001</v>
      </c>
      <c r="K320" s="10">
        <v>0.14130000000000001</v>
      </c>
      <c r="L320" s="9">
        <f t="shared" si="8"/>
        <v>648.66198000000009</v>
      </c>
      <c r="M320" s="9">
        <f>ROUND(L320*0.5921,2)</f>
        <v>384.07</v>
      </c>
      <c r="N320" s="9">
        <f t="shared" si="9"/>
        <v>264.59198000000009</v>
      </c>
    </row>
    <row r="321" spans="1:14" x14ac:dyDescent="0.35">
      <c r="A321" s="7" t="s">
        <v>404</v>
      </c>
      <c r="B321" s="8">
        <v>45780</v>
      </c>
      <c r="C321" s="7" t="s">
        <v>52</v>
      </c>
      <c r="D321" s="7" t="s">
        <v>53</v>
      </c>
      <c r="E321" s="7" t="s">
        <v>58</v>
      </c>
      <c r="F321" s="7" t="s">
        <v>48</v>
      </c>
      <c r="G321" s="7" t="s">
        <v>49</v>
      </c>
      <c r="H321" s="7" t="s">
        <v>83</v>
      </c>
      <c r="I321" s="7">
        <v>3</v>
      </c>
      <c r="J321" s="9">
        <v>665.28</v>
      </c>
      <c r="K321" s="10">
        <v>7.1800000000000003E-2</v>
      </c>
      <c r="L321" s="9">
        <f t="shared" si="8"/>
        <v>1852.5386879999999</v>
      </c>
      <c r="M321" s="9">
        <f>ROUND(L321*0.7033,2)</f>
        <v>1302.8900000000001</v>
      </c>
      <c r="N321" s="9">
        <f t="shared" si="9"/>
        <v>549.64868799999977</v>
      </c>
    </row>
    <row r="322" spans="1:14" x14ac:dyDescent="0.35">
      <c r="A322" s="7" t="s">
        <v>405</v>
      </c>
      <c r="B322" s="8">
        <v>45780</v>
      </c>
      <c r="C322" s="7" t="s">
        <v>52</v>
      </c>
      <c r="D322" s="7" t="s">
        <v>69</v>
      </c>
      <c r="E322" s="7" t="s">
        <v>113</v>
      </c>
      <c r="F322" s="7" t="s">
        <v>59</v>
      </c>
      <c r="G322" s="7" t="s">
        <v>55</v>
      </c>
      <c r="H322" s="7" t="s">
        <v>56</v>
      </c>
      <c r="I322" s="7">
        <v>9</v>
      </c>
      <c r="J322" s="9">
        <v>247.77</v>
      </c>
      <c r="K322" s="10">
        <v>9.1499999999999998E-2</v>
      </c>
      <c r="L322" s="9">
        <f t="shared" ref="L322:L385" si="10">I322*J322*(1-K322)</f>
        <v>2025.8914050000003</v>
      </c>
      <c r="M322" s="9">
        <f>ROUND(L322*0.22,2)</f>
        <v>445.7</v>
      </c>
      <c r="N322" s="9">
        <f t="shared" ref="N322:N385" si="11">L322-M322</f>
        <v>1580.1914050000003</v>
      </c>
    </row>
    <row r="323" spans="1:14" x14ac:dyDescent="0.35">
      <c r="A323" s="7" t="s">
        <v>406</v>
      </c>
      <c r="B323" s="8">
        <v>45780</v>
      </c>
      <c r="C323" s="7" t="s">
        <v>46</v>
      </c>
      <c r="D323" s="7" t="s">
        <v>69</v>
      </c>
      <c r="E323" s="7" t="s">
        <v>119</v>
      </c>
      <c r="F323" s="7" t="s">
        <v>59</v>
      </c>
      <c r="G323" s="7" t="s">
        <v>43</v>
      </c>
      <c r="H323" s="7" t="s">
        <v>95</v>
      </c>
      <c r="I323" s="7">
        <v>5</v>
      </c>
      <c r="J323" s="9">
        <v>192.57</v>
      </c>
      <c r="K323" s="10">
        <v>0.11169999999999999</v>
      </c>
      <c r="L323" s="9">
        <f t="shared" si="10"/>
        <v>855.29965499999992</v>
      </c>
      <c r="M323" s="9">
        <f>ROUND(L323*0.2316,2)</f>
        <v>198.09</v>
      </c>
      <c r="N323" s="9">
        <f t="shared" si="11"/>
        <v>657.20965499999988</v>
      </c>
    </row>
    <row r="324" spans="1:14" x14ac:dyDescent="0.35">
      <c r="A324" s="7" t="s">
        <v>407</v>
      </c>
      <c r="B324" s="8">
        <v>45781</v>
      </c>
      <c r="C324" s="7" t="s">
        <v>52</v>
      </c>
      <c r="D324" s="7" t="s">
        <v>53</v>
      </c>
      <c r="E324" s="7" t="s">
        <v>87</v>
      </c>
      <c r="F324" s="7" t="s">
        <v>42</v>
      </c>
      <c r="G324" s="7" t="s">
        <v>43</v>
      </c>
      <c r="H324" s="7" t="s">
        <v>83</v>
      </c>
      <c r="I324" s="7">
        <v>33</v>
      </c>
      <c r="J324" s="9">
        <v>887.08</v>
      </c>
      <c r="K324" s="10">
        <v>0.1318</v>
      </c>
      <c r="L324" s="9">
        <f t="shared" si="10"/>
        <v>25415.374248</v>
      </c>
      <c r="M324" s="9">
        <f>ROUND(L324*0.6994,2)</f>
        <v>17775.509999999998</v>
      </c>
      <c r="N324" s="9">
        <f t="shared" si="11"/>
        <v>7639.8642480000017</v>
      </c>
    </row>
    <row r="325" spans="1:14" x14ac:dyDescent="0.35">
      <c r="A325" s="7" t="s">
        <v>408</v>
      </c>
      <c r="B325" s="8">
        <v>45781</v>
      </c>
      <c r="C325" s="7" t="s">
        <v>46</v>
      </c>
      <c r="D325" s="7" t="s">
        <v>53</v>
      </c>
      <c r="E325" s="7" t="s">
        <v>105</v>
      </c>
      <c r="F325" s="7" t="s">
        <v>48</v>
      </c>
      <c r="G325" s="7" t="s">
        <v>55</v>
      </c>
      <c r="H325" s="7" t="s">
        <v>74</v>
      </c>
      <c r="I325" s="7">
        <v>1</v>
      </c>
      <c r="J325" s="9">
        <v>450.29</v>
      </c>
      <c r="K325" s="10">
        <v>1.3599999999999999E-2</v>
      </c>
      <c r="L325" s="9">
        <f t="shared" si="10"/>
        <v>444.16605600000003</v>
      </c>
      <c r="M325" s="9">
        <f>ROUND(L325*0.6925,2)</f>
        <v>307.58</v>
      </c>
      <c r="N325" s="9">
        <f t="shared" si="11"/>
        <v>136.58605600000004</v>
      </c>
    </row>
    <row r="326" spans="1:14" x14ac:dyDescent="0.35">
      <c r="A326" s="7" t="s">
        <v>409</v>
      </c>
      <c r="B326" s="8">
        <v>45782</v>
      </c>
      <c r="C326" s="7" t="s">
        <v>46</v>
      </c>
      <c r="D326" s="7" t="s">
        <v>40</v>
      </c>
      <c r="E326" s="7" t="s">
        <v>62</v>
      </c>
      <c r="F326" s="7" t="s">
        <v>48</v>
      </c>
      <c r="G326" s="7" t="s">
        <v>55</v>
      </c>
      <c r="H326" s="7" t="s">
        <v>74</v>
      </c>
      <c r="I326" s="7">
        <v>2</v>
      </c>
      <c r="J326" s="9">
        <v>193.32</v>
      </c>
      <c r="K326" s="10">
        <v>5.1299999999999998E-2</v>
      </c>
      <c r="L326" s="9">
        <f t="shared" si="10"/>
        <v>366.80536799999999</v>
      </c>
      <c r="M326" s="9">
        <f>ROUND(L326*0.6208,2)</f>
        <v>227.71</v>
      </c>
      <c r="N326" s="9">
        <f t="shared" si="11"/>
        <v>139.09536799999998</v>
      </c>
    </row>
    <row r="327" spans="1:14" x14ac:dyDescent="0.35">
      <c r="A327" s="7" t="s">
        <v>410</v>
      </c>
      <c r="B327" s="8">
        <v>45782</v>
      </c>
      <c r="C327" s="7" t="s">
        <v>39</v>
      </c>
      <c r="D327" s="7" t="s">
        <v>66</v>
      </c>
      <c r="E327" s="7" t="s">
        <v>98</v>
      </c>
      <c r="F327" s="7" t="s">
        <v>42</v>
      </c>
      <c r="G327" s="7" t="s">
        <v>55</v>
      </c>
      <c r="H327" s="7" t="s">
        <v>108</v>
      </c>
      <c r="I327" s="7">
        <v>34</v>
      </c>
      <c r="J327" s="9">
        <v>28.36</v>
      </c>
      <c r="K327" s="10">
        <v>8.4000000000000005E-2</v>
      </c>
      <c r="L327" s="9">
        <f t="shared" si="10"/>
        <v>883.24384000000009</v>
      </c>
      <c r="M327" s="9">
        <f>ROUND(L327*0.605,2)</f>
        <v>534.36</v>
      </c>
      <c r="N327" s="9">
        <f t="shared" si="11"/>
        <v>348.88384000000008</v>
      </c>
    </row>
    <row r="328" spans="1:14" x14ac:dyDescent="0.35">
      <c r="A328" s="7" t="s">
        <v>411</v>
      </c>
      <c r="B328" s="8">
        <v>45782</v>
      </c>
      <c r="C328" s="7" t="s">
        <v>39</v>
      </c>
      <c r="D328" s="7" t="s">
        <v>69</v>
      </c>
      <c r="E328" s="7" t="s">
        <v>113</v>
      </c>
      <c r="F328" s="7" t="s">
        <v>48</v>
      </c>
      <c r="G328" s="7" t="s">
        <v>55</v>
      </c>
      <c r="H328" s="7" t="s">
        <v>108</v>
      </c>
      <c r="I328" s="7">
        <v>3</v>
      </c>
      <c r="J328" s="9">
        <v>241.05</v>
      </c>
      <c r="K328" s="10">
        <v>4.3799999999999999E-2</v>
      </c>
      <c r="L328" s="9">
        <f t="shared" si="10"/>
        <v>691.47603000000015</v>
      </c>
      <c r="M328" s="9">
        <f>ROUND(L328*0.2474,2)</f>
        <v>171.07</v>
      </c>
      <c r="N328" s="9">
        <f t="shared" si="11"/>
        <v>520.4060300000001</v>
      </c>
    </row>
    <row r="329" spans="1:14" x14ac:dyDescent="0.35">
      <c r="A329" s="7" t="s">
        <v>412</v>
      </c>
      <c r="B329" s="8">
        <v>45782</v>
      </c>
      <c r="C329" s="7" t="s">
        <v>39</v>
      </c>
      <c r="D329" s="7" t="s">
        <v>40</v>
      </c>
      <c r="E329" s="7" t="s">
        <v>41</v>
      </c>
      <c r="F329" s="7" t="s">
        <v>42</v>
      </c>
      <c r="G329" s="7" t="s">
        <v>43</v>
      </c>
      <c r="H329" s="7" t="s">
        <v>44</v>
      </c>
      <c r="I329" s="7">
        <v>34</v>
      </c>
      <c r="J329" s="9">
        <v>405.74</v>
      </c>
      <c r="K329" s="10">
        <v>0.19439999999999999</v>
      </c>
      <c r="L329" s="9">
        <f t="shared" si="10"/>
        <v>11113.380895999999</v>
      </c>
      <c r="M329" s="9">
        <f>ROUND(L329*0.6432,2)</f>
        <v>7148.13</v>
      </c>
      <c r="N329" s="9">
        <f t="shared" si="11"/>
        <v>3965.2508959999986</v>
      </c>
    </row>
    <row r="330" spans="1:14" x14ac:dyDescent="0.35">
      <c r="A330" s="7" t="s">
        <v>413</v>
      </c>
      <c r="B330" s="8">
        <v>45783</v>
      </c>
      <c r="C330" s="7" t="s">
        <v>76</v>
      </c>
      <c r="D330" s="7" t="s">
        <v>53</v>
      </c>
      <c r="E330" s="7" t="s">
        <v>105</v>
      </c>
      <c r="F330" s="7" t="s">
        <v>59</v>
      </c>
      <c r="G330" s="7" t="s">
        <v>49</v>
      </c>
      <c r="H330" s="7" t="s">
        <v>151</v>
      </c>
      <c r="I330" s="7">
        <v>8</v>
      </c>
      <c r="J330" s="9">
        <v>424.18</v>
      </c>
      <c r="K330" s="10">
        <v>0.122</v>
      </c>
      <c r="L330" s="9">
        <f t="shared" si="10"/>
        <v>2979.4403200000002</v>
      </c>
      <c r="M330" s="9">
        <f>ROUND(L330*0.7216,2)</f>
        <v>2149.96</v>
      </c>
      <c r="N330" s="9">
        <f t="shared" si="11"/>
        <v>829.48032000000012</v>
      </c>
    </row>
    <row r="331" spans="1:14" x14ac:dyDescent="0.35">
      <c r="A331" s="7" t="s">
        <v>414</v>
      </c>
      <c r="B331" s="8">
        <v>45783</v>
      </c>
      <c r="C331" s="7" t="s">
        <v>52</v>
      </c>
      <c r="D331" s="7" t="s">
        <v>40</v>
      </c>
      <c r="E331" s="7" t="s">
        <v>47</v>
      </c>
      <c r="F331" s="7" t="s">
        <v>48</v>
      </c>
      <c r="G331" s="7" t="s">
        <v>55</v>
      </c>
      <c r="H331" s="7" t="s">
        <v>56</v>
      </c>
      <c r="I331" s="7">
        <v>3</v>
      </c>
      <c r="J331" s="9">
        <v>239.6</v>
      </c>
      <c r="K331" s="10">
        <v>5.5899999999999998E-2</v>
      </c>
      <c r="L331" s="9">
        <f t="shared" si="10"/>
        <v>678.61907999999994</v>
      </c>
      <c r="M331" s="9">
        <f>ROUND(L331*0.6669,2)</f>
        <v>452.57</v>
      </c>
      <c r="N331" s="9">
        <f t="shared" si="11"/>
        <v>226.04907999999995</v>
      </c>
    </row>
    <row r="332" spans="1:14" x14ac:dyDescent="0.35">
      <c r="A332" s="7" t="s">
        <v>415</v>
      </c>
      <c r="B332" s="8">
        <v>45783</v>
      </c>
      <c r="C332" s="7" t="s">
        <v>39</v>
      </c>
      <c r="D332" s="7" t="s">
        <v>69</v>
      </c>
      <c r="E332" s="7" t="s">
        <v>132</v>
      </c>
      <c r="F332" s="7" t="s">
        <v>59</v>
      </c>
      <c r="G332" s="7" t="s">
        <v>43</v>
      </c>
      <c r="H332" s="7" t="s">
        <v>60</v>
      </c>
      <c r="I332" s="7">
        <v>10</v>
      </c>
      <c r="J332" s="9">
        <v>78.69</v>
      </c>
      <c r="K332" s="10">
        <v>0.11609999999999999</v>
      </c>
      <c r="L332" s="9">
        <f t="shared" si="10"/>
        <v>695.54090999999994</v>
      </c>
      <c r="M332" s="9">
        <f>ROUND(L332*0.2492,2)</f>
        <v>173.33</v>
      </c>
      <c r="N332" s="9">
        <f t="shared" si="11"/>
        <v>522.2109099999999</v>
      </c>
    </row>
    <row r="333" spans="1:14" x14ac:dyDescent="0.35">
      <c r="A333" s="7" t="s">
        <v>416</v>
      </c>
      <c r="B333" s="8">
        <v>45783</v>
      </c>
      <c r="C333" s="7" t="s">
        <v>76</v>
      </c>
      <c r="D333" s="7" t="s">
        <v>69</v>
      </c>
      <c r="E333" s="7" t="s">
        <v>119</v>
      </c>
      <c r="F333" s="7" t="s">
        <v>48</v>
      </c>
      <c r="G333" s="7" t="s">
        <v>49</v>
      </c>
      <c r="H333" s="7" t="s">
        <v>151</v>
      </c>
      <c r="I333" s="7">
        <v>2</v>
      </c>
      <c r="J333" s="9">
        <v>187.27</v>
      </c>
      <c r="K333" s="10">
        <v>7.0199999999999999E-2</v>
      </c>
      <c r="L333" s="9">
        <f t="shared" si="10"/>
        <v>348.24729200000002</v>
      </c>
      <c r="M333" s="9">
        <f>ROUND(L333*0.2261,2)</f>
        <v>78.739999999999995</v>
      </c>
      <c r="N333" s="9">
        <f t="shared" si="11"/>
        <v>269.50729200000001</v>
      </c>
    </row>
    <row r="334" spans="1:14" x14ac:dyDescent="0.35">
      <c r="A334" s="7" t="s">
        <v>417</v>
      </c>
      <c r="B334" s="8">
        <v>45784</v>
      </c>
      <c r="C334" s="7" t="s">
        <v>52</v>
      </c>
      <c r="D334" s="7" t="s">
        <v>69</v>
      </c>
      <c r="E334" s="7" t="s">
        <v>107</v>
      </c>
      <c r="F334" s="7" t="s">
        <v>59</v>
      </c>
      <c r="G334" s="7" t="s">
        <v>55</v>
      </c>
      <c r="H334" s="7" t="s">
        <v>56</v>
      </c>
      <c r="I334" s="7">
        <v>6</v>
      </c>
      <c r="J334" s="9">
        <v>57.7</v>
      </c>
      <c r="K334" s="10">
        <v>6.7799999999999999E-2</v>
      </c>
      <c r="L334" s="9">
        <f t="shared" si="10"/>
        <v>322.72764000000006</v>
      </c>
      <c r="M334" s="9">
        <f>ROUND(L334*0.2227,2)</f>
        <v>71.87</v>
      </c>
      <c r="N334" s="9">
        <f t="shared" si="11"/>
        <v>250.85764000000006</v>
      </c>
    </row>
    <row r="335" spans="1:14" x14ac:dyDescent="0.35">
      <c r="A335" s="7" t="s">
        <v>418</v>
      </c>
      <c r="B335" s="8">
        <v>45784</v>
      </c>
      <c r="C335" s="7" t="s">
        <v>46</v>
      </c>
      <c r="D335" s="7" t="s">
        <v>66</v>
      </c>
      <c r="E335" s="7" t="s">
        <v>137</v>
      </c>
      <c r="F335" s="7" t="s">
        <v>59</v>
      </c>
      <c r="G335" s="7" t="s">
        <v>55</v>
      </c>
      <c r="H335" s="7" t="s">
        <v>74</v>
      </c>
      <c r="I335" s="7">
        <v>8</v>
      </c>
      <c r="J335" s="9">
        <v>163.08000000000001</v>
      </c>
      <c r="K335" s="10">
        <v>5.8200000000000002E-2</v>
      </c>
      <c r="L335" s="9">
        <f t="shared" si="10"/>
        <v>1228.7099520000002</v>
      </c>
      <c r="M335" s="9">
        <f>ROUND(L335*0.5595,2)</f>
        <v>687.46</v>
      </c>
      <c r="N335" s="9">
        <f t="shared" si="11"/>
        <v>541.24995200000012</v>
      </c>
    </row>
    <row r="336" spans="1:14" x14ac:dyDescent="0.35">
      <c r="A336" s="7" t="s">
        <v>419</v>
      </c>
      <c r="B336" s="8">
        <v>45784</v>
      </c>
      <c r="C336" s="7" t="s">
        <v>52</v>
      </c>
      <c r="D336" s="7" t="s">
        <v>69</v>
      </c>
      <c r="E336" s="7" t="s">
        <v>132</v>
      </c>
      <c r="F336" s="7" t="s">
        <v>59</v>
      </c>
      <c r="G336" s="7" t="s">
        <v>55</v>
      </c>
      <c r="H336" s="7" t="s">
        <v>56</v>
      </c>
      <c r="I336" s="7">
        <v>10</v>
      </c>
      <c r="J336" s="9">
        <v>78.17</v>
      </c>
      <c r="K336" s="10">
        <v>6.4000000000000001E-2</v>
      </c>
      <c r="L336" s="9">
        <f t="shared" si="10"/>
        <v>731.6712</v>
      </c>
      <c r="M336" s="9">
        <f>ROUND(L336*0.2699,2)</f>
        <v>197.48</v>
      </c>
      <c r="N336" s="9">
        <f t="shared" si="11"/>
        <v>534.19119999999998</v>
      </c>
    </row>
    <row r="337" spans="1:14" x14ac:dyDescent="0.35">
      <c r="A337" s="7" t="s">
        <v>420</v>
      </c>
      <c r="B337" s="8">
        <v>45784</v>
      </c>
      <c r="C337" s="7" t="s">
        <v>46</v>
      </c>
      <c r="D337" s="7" t="s">
        <v>66</v>
      </c>
      <c r="E337" s="7" t="s">
        <v>77</v>
      </c>
      <c r="F337" s="7" t="s">
        <v>59</v>
      </c>
      <c r="G337" s="7" t="s">
        <v>43</v>
      </c>
      <c r="H337" s="7" t="s">
        <v>50</v>
      </c>
      <c r="I337" s="7">
        <v>9</v>
      </c>
      <c r="J337" s="9">
        <v>98.8</v>
      </c>
      <c r="K337" s="10">
        <v>0.11749999999999999</v>
      </c>
      <c r="L337" s="9">
        <f t="shared" si="10"/>
        <v>784.71900000000005</v>
      </c>
      <c r="M337" s="9">
        <f>ROUND(L337*0.5535,2)</f>
        <v>434.34</v>
      </c>
      <c r="N337" s="9">
        <f t="shared" si="11"/>
        <v>350.37900000000008</v>
      </c>
    </row>
    <row r="338" spans="1:14" x14ac:dyDescent="0.35">
      <c r="A338" s="7" t="s">
        <v>421</v>
      </c>
      <c r="B338" s="8">
        <v>45785</v>
      </c>
      <c r="C338" s="7" t="s">
        <v>52</v>
      </c>
      <c r="D338" s="7" t="s">
        <v>53</v>
      </c>
      <c r="E338" s="7" t="s">
        <v>54</v>
      </c>
      <c r="F338" s="7" t="s">
        <v>48</v>
      </c>
      <c r="G338" s="7" t="s">
        <v>55</v>
      </c>
      <c r="H338" s="7" t="s">
        <v>56</v>
      </c>
      <c r="I338" s="7">
        <v>1</v>
      </c>
      <c r="J338" s="9">
        <v>1280.1600000000001</v>
      </c>
      <c r="K338" s="10">
        <v>8.8000000000000005E-3</v>
      </c>
      <c r="L338" s="9">
        <f t="shared" si="10"/>
        <v>1268.8945920000001</v>
      </c>
      <c r="M338" s="9">
        <f>ROUND(L338*0.6845,2)</f>
        <v>868.56</v>
      </c>
      <c r="N338" s="9">
        <f t="shared" si="11"/>
        <v>400.33459200000016</v>
      </c>
    </row>
    <row r="339" spans="1:14" x14ac:dyDescent="0.35">
      <c r="A339" s="7" t="s">
        <v>422</v>
      </c>
      <c r="B339" s="8">
        <v>45785</v>
      </c>
      <c r="C339" s="7" t="s">
        <v>46</v>
      </c>
      <c r="D339" s="7" t="s">
        <v>66</v>
      </c>
      <c r="E339" s="7" t="s">
        <v>67</v>
      </c>
      <c r="F339" s="7" t="s">
        <v>42</v>
      </c>
      <c r="G339" s="7" t="s">
        <v>55</v>
      </c>
      <c r="H339" s="7" t="s">
        <v>74</v>
      </c>
      <c r="I339" s="7">
        <v>28</v>
      </c>
      <c r="J339" s="9">
        <v>87.36</v>
      </c>
      <c r="K339" s="10">
        <v>9.8400000000000001E-2</v>
      </c>
      <c r="L339" s="9">
        <f t="shared" si="10"/>
        <v>2205.3857279999997</v>
      </c>
      <c r="M339" s="9">
        <f>ROUND(L339*0.5887,2)</f>
        <v>1298.31</v>
      </c>
      <c r="N339" s="9">
        <f t="shared" si="11"/>
        <v>907.0757279999998</v>
      </c>
    </row>
    <row r="340" spans="1:14" x14ac:dyDescent="0.35">
      <c r="A340" s="7" t="s">
        <v>423</v>
      </c>
      <c r="B340" s="8">
        <v>45786</v>
      </c>
      <c r="C340" s="7" t="s">
        <v>39</v>
      </c>
      <c r="D340" s="7" t="s">
        <v>40</v>
      </c>
      <c r="E340" s="7" t="s">
        <v>139</v>
      </c>
      <c r="F340" s="7" t="s">
        <v>48</v>
      </c>
      <c r="G340" s="7" t="s">
        <v>49</v>
      </c>
      <c r="H340" s="7" t="s">
        <v>44</v>
      </c>
      <c r="I340" s="7">
        <v>3</v>
      </c>
      <c r="J340" s="9">
        <v>327.81</v>
      </c>
      <c r="K340" s="10">
        <v>6.0299999999999999E-2</v>
      </c>
      <c r="L340" s="9">
        <f t="shared" si="10"/>
        <v>924.12917100000004</v>
      </c>
      <c r="M340" s="9">
        <f>ROUND(L340*0.6316,2)</f>
        <v>583.67999999999995</v>
      </c>
      <c r="N340" s="9">
        <f t="shared" si="11"/>
        <v>340.44917100000009</v>
      </c>
    </row>
    <row r="341" spans="1:14" x14ac:dyDescent="0.35">
      <c r="A341" s="7" t="s">
        <v>424</v>
      </c>
      <c r="B341" s="8">
        <v>45786</v>
      </c>
      <c r="C341" s="7" t="s">
        <v>76</v>
      </c>
      <c r="D341" s="7" t="s">
        <v>66</v>
      </c>
      <c r="E341" s="7" t="s">
        <v>137</v>
      </c>
      <c r="F341" s="7" t="s">
        <v>48</v>
      </c>
      <c r="G341" s="7" t="s">
        <v>55</v>
      </c>
      <c r="H341" s="7" t="s">
        <v>78</v>
      </c>
      <c r="I341" s="7">
        <v>1</v>
      </c>
      <c r="J341" s="9">
        <v>156.13999999999999</v>
      </c>
      <c r="K341" s="10">
        <v>4.7999999999999996E-3</v>
      </c>
      <c r="L341" s="9">
        <f t="shared" si="10"/>
        <v>155.39052799999999</v>
      </c>
      <c r="M341" s="9">
        <f>ROUND(L341*0.5865,2)</f>
        <v>91.14</v>
      </c>
      <c r="N341" s="9">
        <f t="shared" si="11"/>
        <v>64.250527999999989</v>
      </c>
    </row>
    <row r="342" spans="1:14" x14ac:dyDescent="0.35">
      <c r="A342" s="7" t="s">
        <v>425</v>
      </c>
      <c r="B342" s="8">
        <v>45786</v>
      </c>
      <c r="C342" s="7" t="s">
        <v>76</v>
      </c>
      <c r="D342" s="7" t="s">
        <v>66</v>
      </c>
      <c r="E342" s="7" t="s">
        <v>77</v>
      </c>
      <c r="F342" s="7" t="s">
        <v>48</v>
      </c>
      <c r="G342" s="7" t="s">
        <v>55</v>
      </c>
      <c r="H342" s="7" t="s">
        <v>78</v>
      </c>
      <c r="I342" s="7">
        <v>1</v>
      </c>
      <c r="J342" s="9">
        <v>100.17</v>
      </c>
      <c r="K342" s="10">
        <v>2.7099999999999999E-2</v>
      </c>
      <c r="L342" s="9">
        <f t="shared" si="10"/>
        <v>97.455393000000001</v>
      </c>
      <c r="M342" s="9">
        <f>ROUND(L342*0.603,2)</f>
        <v>58.77</v>
      </c>
      <c r="N342" s="9">
        <f t="shared" si="11"/>
        <v>38.685392999999998</v>
      </c>
    </row>
    <row r="343" spans="1:14" x14ac:dyDescent="0.35">
      <c r="A343" s="7" t="s">
        <v>426</v>
      </c>
      <c r="B343" s="8">
        <v>45786</v>
      </c>
      <c r="C343" s="7" t="s">
        <v>39</v>
      </c>
      <c r="D343" s="7" t="s">
        <v>40</v>
      </c>
      <c r="E343" s="7" t="s">
        <v>47</v>
      </c>
      <c r="F343" s="7" t="s">
        <v>42</v>
      </c>
      <c r="G343" s="7" t="s">
        <v>49</v>
      </c>
      <c r="H343" s="7" t="s">
        <v>44</v>
      </c>
      <c r="I343" s="7">
        <v>34</v>
      </c>
      <c r="J343" s="9">
        <v>234.76</v>
      </c>
      <c r="K343" s="10">
        <v>0.1139</v>
      </c>
      <c r="L343" s="9">
        <f t="shared" si="10"/>
        <v>7072.7084240000004</v>
      </c>
      <c r="M343" s="9">
        <f>ROUND(L343*0.645,2)</f>
        <v>4561.8999999999996</v>
      </c>
      <c r="N343" s="9">
        <f t="shared" si="11"/>
        <v>2510.8084240000007</v>
      </c>
    </row>
    <row r="344" spans="1:14" x14ac:dyDescent="0.35">
      <c r="A344" s="7" t="s">
        <v>427</v>
      </c>
      <c r="B344" s="8">
        <v>45787</v>
      </c>
      <c r="C344" s="7" t="s">
        <v>52</v>
      </c>
      <c r="D344" s="7" t="s">
        <v>53</v>
      </c>
      <c r="E344" s="7" t="s">
        <v>58</v>
      </c>
      <c r="F344" s="7" t="s">
        <v>59</v>
      </c>
      <c r="G344" s="7" t="s">
        <v>49</v>
      </c>
      <c r="H344" s="7" t="s">
        <v>71</v>
      </c>
      <c r="I344" s="7">
        <v>3</v>
      </c>
      <c r="J344" s="9">
        <v>660.33</v>
      </c>
      <c r="K344" s="10">
        <v>7.1400000000000005E-2</v>
      </c>
      <c r="L344" s="9">
        <f t="shared" si="10"/>
        <v>1839.5473140000001</v>
      </c>
      <c r="M344" s="9">
        <f>ROUND(L344*0.692,2)</f>
        <v>1272.97</v>
      </c>
      <c r="N344" s="9">
        <f t="shared" si="11"/>
        <v>566.57731400000011</v>
      </c>
    </row>
    <row r="345" spans="1:14" x14ac:dyDescent="0.35">
      <c r="A345" s="7" t="s">
        <v>428</v>
      </c>
      <c r="B345" s="8">
        <v>45787</v>
      </c>
      <c r="C345" s="7" t="s">
        <v>46</v>
      </c>
      <c r="D345" s="7" t="s">
        <v>69</v>
      </c>
      <c r="E345" s="7" t="s">
        <v>113</v>
      </c>
      <c r="F345" s="7" t="s">
        <v>59</v>
      </c>
      <c r="G345" s="7" t="s">
        <v>49</v>
      </c>
      <c r="H345" s="7" t="s">
        <v>50</v>
      </c>
      <c r="I345" s="7">
        <v>8</v>
      </c>
      <c r="J345" s="9">
        <v>242.72</v>
      </c>
      <c r="K345" s="10">
        <v>0.106</v>
      </c>
      <c r="L345" s="9">
        <f t="shared" si="10"/>
        <v>1735.93344</v>
      </c>
      <c r="M345" s="9">
        <f>ROUND(L345*0.227,2)</f>
        <v>394.06</v>
      </c>
      <c r="N345" s="9">
        <f t="shared" si="11"/>
        <v>1341.8734400000001</v>
      </c>
    </row>
    <row r="346" spans="1:14" x14ac:dyDescent="0.35">
      <c r="A346" s="7" t="s">
        <v>429</v>
      </c>
      <c r="B346" s="8">
        <v>45787</v>
      </c>
      <c r="C346" s="7" t="s">
        <v>46</v>
      </c>
      <c r="D346" s="7" t="s">
        <v>66</v>
      </c>
      <c r="E346" s="7" t="s">
        <v>67</v>
      </c>
      <c r="F346" s="7" t="s">
        <v>59</v>
      </c>
      <c r="G346" s="7" t="s">
        <v>49</v>
      </c>
      <c r="H346" s="7" t="s">
        <v>95</v>
      </c>
      <c r="I346" s="7">
        <v>5</v>
      </c>
      <c r="J346" s="9">
        <v>84.79</v>
      </c>
      <c r="K346" s="10">
        <v>7.5700000000000003E-2</v>
      </c>
      <c r="L346" s="9">
        <f t="shared" si="10"/>
        <v>391.85698500000007</v>
      </c>
      <c r="M346" s="9">
        <f>ROUND(L346*0.5807,2)</f>
        <v>227.55</v>
      </c>
      <c r="N346" s="9">
        <f t="shared" si="11"/>
        <v>164.30698500000005</v>
      </c>
    </row>
    <row r="347" spans="1:14" x14ac:dyDescent="0.35">
      <c r="A347" s="7" t="s">
        <v>430</v>
      </c>
      <c r="B347" s="8">
        <v>45787</v>
      </c>
      <c r="C347" s="7" t="s">
        <v>39</v>
      </c>
      <c r="D347" s="7" t="s">
        <v>69</v>
      </c>
      <c r="E347" s="7" t="s">
        <v>70</v>
      </c>
      <c r="F347" s="7" t="s">
        <v>42</v>
      </c>
      <c r="G347" s="7" t="s">
        <v>49</v>
      </c>
      <c r="H347" s="7" t="s">
        <v>44</v>
      </c>
      <c r="I347" s="7">
        <v>10</v>
      </c>
      <c r="J347" s="9">
        <v>141.22999999999999</v>
      </c>
      <c r="K347" s="10">
        <v>9.1600000000000001E-2</v>
      </c>
      <c r="L347" s="9">
        <f t="shared" si="10"/>
        <v>1282.9333199999999</v>
      </c>
      <c r="M347" s="9">
        <f>ROUND(L347*0.2189,2)</f>
        <v>280.83</v>
      </c>
      <c r="N347" s="9">
        <f t="shared" si="11"/>
        <v>1002.1033199999999</v>
      </c>
    </row>
    <row r="348" spans="1:14" x14ac:dyDescent="0.35">
      <c r="A348" s="7" t="s">
        <v>431</v>
      </c>
      <c r="B348" s="8">
        <v>45788</v>
      </c>
      <c r="C348" s="7" t="s">
        <v>46</v>
      </c>
      <c r="D348" s="7" t="s">
        <v>40</v>
      </c>
      <c r="E348" s="7" t="s">
        <v>139</v>
      </c>
      <c r="F348" s="7" t="s">
        <v>48</v>
      </c>
      <c r="G348" s="7" t="s">
        <v>55</v>
      </c>
      <c r="H348" s="7" t="s">
        <v>74</v>
      </c>
      <c r="I348" s="7">
        <v>1</v>
      </c>
      <c r="J348" s="9">
        <v>339.42</v>
      </c>
      <c r="K348" s="10">
        <v>2.81E-2</v>
      </c>
      <c r="L348" s="9">
        <f t="shared" si="10"/>
        <v>329.88229799999999</v>
      </c>
      <c r="M348" s="9">
        <f>ROUND(L348*0.6135,2)</f>
        <v>202.38</v>
      </c>
      <c r="N348" s="9">
        <f t="shared" si="11"/>
        <v>127.502298</v>
      </c>
    </row>
    <row r="349" spans="1:14" x14ac:dyDescent="0.35">
      <c r="A349" s="7" t="s">
        <v>432</v>
      </c>
      <c r="B349" s="8">
        <v>45788</v>
      </c>
      <c r="C349" s="7" t="s">
        <v>46</v>
      </c>
      <c r="D349" s="7" t="s">
        <v>40</v>
      </c>
      <c r="E349" s="7" t="s">
        <v>41</v>
      </c>
      <c r="F349" s="7" t="s">
        <v>48</v>
      </c>
      <c r="G349" s="7" t="s">
        <v>55</v>
      </c>
      <c r="H349" s="7" t="s">
        <v>74</v>
      </c>
      <c r="I349" s="7">
        <v>3</v>
      </c>
      <c r="J349" s="9">
        <v>411.83</v>
      </c>
      <c r="K349" s="10">
        <v>3.27E-2</v>
      </c>
      <c r="L349" s="9">
        <f t="shared" si="10"/>
        <v>1195.089477</v>
      </c>
      <c r="M349" s="9">
        <f>ROUND(L349*0.6583,2)</f>
        <v>786.73</v>
      </c>
      <c r="N349" s="9">
        <f t="shared" si="11"/>
        <v>408.35947699999997</v>
      </c>
    </row>
    <row r="350" spans="1:14" x14ac:dyDescent="0.35">
      <c r="A350" s="7" t="s">
        <v>433</v>
      </c>
      <c r="B350" s="8">
        <v>45789</v>
      </c>
      <c r="C350" s="7" t="s">
        <v>46</v>
      </c>
      <c r="D350" s="7" t="s">
        <v>69</v>
      </c>
      <c r="E350" s="7" t="s">
        <v>113</v>
      </c>
      <c r="F350" s="7" t="s">
        <v>59</v>
      </c>
      <c r="G350" s="7" t="s">
        <v>55</v>
      </c>
      <c r="H350" s="7" t="s">
        <v>74</v>
      </c>
      <c r="I350" s="7">
        <v>4</v>
      </c>
      <c r="J350" s="9">
        <v>244.72</v>
      </c>
      <c r="K350" s="10">
        <v>4.3999999999999997E-2</v>
      </c>
      <c r="L350" s="9">
        <f t="shared" si="10"/>
        <v>935.80927999999994</v>
      </c>
      <c r="M350" s="9">
        <f>ROUND(L350*0.2198,2)</f>
        <v>205.69</v>
      </c>
      <c r="N350" s="9">
        <f t="shared" si="11"/>
        <v>730.11927999999989</v>
      </c>
    </row>
    <row r="351" spans="1:14" x14ac:dyDescent="0.35">
      <c r="A351" s="7" t="s">
        <v>434</v>
      </c>
      <c r="B351" s="8">
        <v>45789</v>
      </c>
      <c r="C351" s="7" t="s">
        <v>46</v>
      </c>
      <c r="D351" s="7" t="s">
        <v>53</v>
      </c>
      <c r="E351" s="7" t="s">
        <v>87</v>
      </c>
      <c r="F351" s="7" t="s">
        <v>59</v>
      </c>
      <c r="G351" s="7" t="s">
        <v>55</v>
      </c>
      <c r="H351" s="7" t="s">
        <v>74</v>
      </c>
      <c r="I351" s="7">
        <v>10</v>
      </c>
      <c r="J351" s="9">
        <v>924.76</v>
      </c>
      <c r="K351" s="10">
        <v>7.0199999999999999E-2</v>
      </c>
      <c r="L351" s="9">
        <f t="shared" si="10"/>
        <v>8598.4184800000003</v>
      </c>
      <c r="M351" s="9">
        <f>ROUND(L351*0.7383,2)</f>
        <v>6348.21</v>
      </c>
      <c r="N351" s="9">
        <f t="shared" si="11"/>
        <v>2250.2084800000002</v>
      </c>
    </row>
    <row r="352" spans="1:14" x14ac:dyDescent="0.35">
      <c r="A352" s="7" t="s">
        <v>435</v>
      </c>
      <c r="B352" s="8">
        <v>45789</v>
      </c>
      <c r="C352" s="7" t="s">
        <v>46</v>
      </c>
      <c r="D352" s="7" t="s">
        <v>53</v>
      </c>
      <c r="E352" s="7" t="s">
        <v>81</v>
      </c>
      <c r="F352" s="7" t="s">
        <v>59</v>
      </c>
      <c r="G352" s="7" t="s">
        <v>43</v>
      </c>
      <c r="H352" s="7" t="s">
        <v>95</v>
      </c>
      <c r="I352" s="7">
        <v>10</v>
      </c>
      <c r="J352" s="9">
        <v>1056.6300000000001</v>
      </c>
      <c r="K352" s="10">
        <v>0.15140000000000001</v>
      </c>
      <c r="L352" s="9">
        <f t="shared" si="10"/>
        <v>8966.5621800000008</v>
      </c>
      <c r="M352" s="9">
        <f>ROUND(L352*0.7139,2)</f>
        <v>6401.23</v>
      </c>
      <c r="N352" s="9">
        <f t="shared" si="11"/>
        <v>2565.3321800000012</v>
      </c>
    </row>
    <row r="353" spans="1:14" x14ac:dyDescent="0.35">
      <c r="A353" s="7" t="s">
        <v>436</v>
      </c>
      <c r="B353" s="8">
        <v>45789</v>
      </c>
      <c r="C353" s="7" t="s">
        <v>39</v>
      </c>
      <c r="D353" s="7" t="s">
        <v>69</v>
      </c>
      <c r="E353" s="7" t="s">
        <v>132</v>
      </c>
      <c r="F353" s="7" t="s">
        <v>59</v>
      </c>
      <c r="G353" s="7" t="s">
        <v>49</v>
      </c>
      <c r="H353" s="7" t="s">
        <v>44</v>
      </c>
      <c r="I353" s="7">
        <v>9</v>
      </c>
      <c r="J353" s="9">
        <v>78.77</v>
      </c>
      <c r="K353" s="10">
        <v>9.4299999999999995E-2</v>
      </c>
      <c r="L353" s="9">
        <f t="shared" si="10"/>
        <v>642.07790099999988</v>
      </c>
      <c r="M353" s="9">
        <f>ROUND(L353*0.2162,2)</f>
        <v>138.82</v>
      </c>
      <c r="N353" s="9">
        <f t="shared" si="11"/>
        <v>503.25790099999989</v>
      </c>
    </row>
    <row r="354" spans="1:14" x14ac:dyDescent="0.35">
      <c r="A354" s="7" t="s">
        <v>437</v>
      </c>
      <c r="B354" s="8">
        <v>45790</v>
      </c>
      <c r="C354" s="7" t="s">
        <v>76</v>
      </c>
      <c r="D354" s="7" t="s">
        <v>53</v>
      </c>
      <c r="E354" s="7" t="s">
        <v>81</v>
      </c>
      <c r="F354" s="7" t="s">
        <v>42</v>
      </c>
      <c r="G354" s="7" t="s">
        <v>43</v>
      </c>
      <c r="H354" s="7" t="s">
        <v>110</v>
      </c>
      <c r="I354" s="7">
        <v>14</v>
      </c>
      <c r="J354" s="9">
        <v>1103.2</v>
      </c>
      <c r="K354" s="10">
        <v>0.2195</v>
      </c>
      <c r="L354" s="9">
        <f t="shared" si="10"/>
        <v>12054.6664</v>
      </c>
      <c r="M354" s="9">
        <f>ROUND(L354*0.6807,2)</f>
        <v>8205.61</v>
      </c>
      <c r="N354" s="9">
        <f t="shared" si="11"/>
        <v>3849.0563999999995</v>
      </c>
    </row>
    <row r="355" spans="1:14" x14ac:dyDescent="0.35">
      <c r="A355" s="7" t="s">
        <v>438</v>
      </c>
      <c r="B355" s="8">
        <v>45790</v>
      </c>
      <c r="C355" s="7" t="s">
        <v>46</v>
      </c>
      <c r="D355" s="7" t="s">
        <v>40</v>
      </c>
      <c r="E355" s="7" t="s">
        <v>47</v>
      </c>
      <c r="F355" s="7" t="s">
        <v>48</v>
      </c>
      <c r="G355" s="7" t="s">
        <v>55</v>
      </c>
      <c r="H355" s="7" t="s">
        <v>74</v>
      </c>
      <c r="I355" s="7">
        <v>1</v>
      </c>
      <c r="J355" s="9">
        <v>244.85</v>
      </c>
      <c r="K355" s="10">
        <v>4.5499999999999999E-2</v>
      </c>
      <c r="L355" s="9">
        <f t="shared" si="10"/>
        <v>233.70932500000001</v>
      </c>
      <c r="M355" s="9">
        <f>ROUND(L355*0.6656,2)</f>
        <v>155.56</v>
      </c>
      <c r="N355" s="9">
        <f t="shared" si="11"/>
        <v>78.149325000000005</v>
      </c>
    </row>
    <row r="356" spans="1:14" x14ac:dyDescent="0.35">
      <c r="A356" s="7" t="s">
        <v>439</v>
      </c>
      <c r="B356" s="8">
        <v>45790</v>
      </c>
      <c r="C356" s="7" t="s">
        <v>52</v>
      </c>
      <c r="D356" s="7" t="s">
        <v>69</v>
      </c>
      <c r="E356" s="7" t="s">
        <v>119</v>
      </c>
      <c r="F356" s="7" t="s">
        <v>48</v>
      </c>
      <c r="G356" s="7" t="s">
        <v>55</v>
      </c>
      <c r="H356" s="7" t="s">
        <v>56</v>
      </c>
      <c r="I356" s="7">
        <v>1</v>
      </c>
      <c r="J356" s="9">
        <v>205.24</v>
      </c>
      <c r="K356" s="10">
        <v>7.2800000000000004E-2</v>
      </c>
      <c r="L356" s="9">
        <f t="shared" si="10"/>
        <v>190.298528</v>
      </c>
      <c r="M356" s="9">
        <f>ROUND(L356*0.2419,2)</f>
        <v>46.03</v>
      </c>
      <c r="N356" s="9">
        <f t="shared" si="11"/>
        <v>144.268528</v>
      </c>
    </row>
    <row r="357" spans="1:14" x14ac:dyDescent="0.35">
      <c r="A357" s="7" t="s">
        <v>440</v>
      </c>
      <c r="B357" s="8">
        <v>45790</v>
      </c>
      <c r="C357" s="7" t="s">
        <v>46</v>
      </c>
      <c r="D357" s="7" t="s">
        <v>40</v>
      </c>
      <c r="E357" s="7" t="s">
        <v>139</v>
      </c>
      <c r="F357" s="7" t="s">
        <v>42</v>
      </c>
      <c r="G357" s="7" t="s">
        <v>43</v>
      </c>
      <c r="H357" s="7" t="s">
        <v>50</v>
      </c>
      <c r="I357" s="7">
        <v>36</v>
      </c>
      <c r="J357" s="9">
        <v>313.98</v>
      </c>
      <c r="K357" s="10">
        <v>0.21279999999999999</v>
      </c>
      <c r="L357" s="9">
        <f t="shared" si="10"/>
        <v>8897.9420160000009</v>
      </c>
      <c r="M357" s="9">
        <f>ROUND(L357*0.6683,2)</f>
        <v>5946.49</v>
      </c>
      <c r="N357" s="9">
        <f t="shared" si="11"/>
        <v>2951.4520160000011</v>
      </c>
    </row>
    <row r="358" spans="1:14" x14ac:dyDescent="0.35">
      <c r="A358" s="7" t="s">
        <v>441</v>
      </c>
      <c r="B358" s="8">
        <v>45790</v>
      </c>
      <c r="C358" s="7" t="s">
        <v>46</v>
      </c>
      <c r="D358" s="7" t="s">
        <v>66</v>
      </c>
      <c r="E358" s="7" t="s">
        <v>73</v>
      </c>
      <c r="F358" s="7" t="s">
        <v>59</v>
      </c>
      <c r="G358" s="7" t="s">
        <v>49</v>
      </c>
      <c r="H358" s="7" t="s">
        <v>95</v>
      </c>
      <c r="I358" s="7">
        <v>4</v>
      </c>
      <c r="J358" s="9">
        <v>39.17</v>
      </c>
      <c r="K358" s="10">
        <v>0.1016</v>
      </c>
      <c r="L358" s="9">
        <f t="shared" si="10"/>
        <v>140.761312</v>
      </c>
      <c r="M358" s="9">
        <f>ROUND(L358*0.5962,2)</f>
        <v>83.92</v>
      </c>
      <c r="N358" s="9">
        <f t="shared" si="11"/>
        <v>56.841312000000002</v>
      </c>
    </row>
    <row r="359" spans="1:14" x14ac:dyDescent="0.35">
      <c r="A359" s="7" t="s">
        <v>442</v>
      </c>
      <c r="B359" s="8">
        <v>45791</v>
      </c>
      <c r="C359" s="7" t="s">
        <v>76</v>
      </c>
      <c r="D359" s="7" t="s">
        <v>40</v>
      </c>
      <c r="E359" s="7" t="s">
        <v>139</v>
      </c>
      <c r="F359" s="7" t="s">
        <v>59</v>
      </c>
      <c r="G359" s="7" t="s">
        <v>55</v>
      </c>
      <c r="H359" s="7" t="s">
        <v>78</v>
      </c>
      <c r="I359" s="7">
        <v>6</v>
      </c>
      <c r="J359" s="9">
        <v>318.39</v>
      </c>
      <c r="K359" s="10">
        <v>8.9899999999999994E-2</v>
      </c>
      <c r="L359" s="9">
        <f t="shared" si="10"/>
        <v>1738.600434</v>
      </c>
      <c r="M359" s="9">
        <f>ROUND(L359*0.6483,2)</f>
        <v>1127.1300000000001</v>
      </c>
      <c r="N359" s="9">
        <f t="shared" si="11"/>
        <v>611.47043399999984</v>
      </c>
    </row>
    <row r="360" spans="1:14" x14ac:dyDescent="0.35">
      <c r="A360" s="7" t="s">
        <v>443</v>
      </c>
      <c r="B360" s="8">
        <v>45791</v>
      </c>
      <c r="C360" s="7" t="s">
        <v>46</v>
      </c>
      <c r="D360" s="7" t="s">
        <v>69</v>
      </c>
      <c r="E360" s="7" t="s">
        <v>113</v>
      </c>
      <c r="F360" s="7" t="s">
        <v>59</v>
      </c>
      <c r="G360" s="7" t="s">
        <v>43</v>
      </c>
      <c r="H360" s="7" t="s">
        <v>95</v>
      </c>
      <c r="I360" s="7">
        <v>4</v>
      </c>
      <c r="J360" s="9">
        <v>243.44</v>
      </c>
      <c r="K360" s="10">
        <v>0.14549999999999999</v>
      </c>
      <c r="L360" s="9">
        <f t="shared" si="10"/>
        <v>832.07792000000006</v>
      </c>
      <c r="M360" s="9">
        <f>ROUND(L360*0.245,2)</f>
        <v>203.86</v>
      </c>
      <c r="N360" s="9">
        <f t="shared" si="11"/>
        <v>628.21792000000005</v>
      </c>
    </row>
    <row r="361" spans="1:14" x14ac:dyDescent="0.35">
      <c r="A361" s="7" t="s">
        <v>444</v>
      </c>
      <c r="B361" s="8">
        <v>45791</v>
      </c>
      <c r="C361" s="7" t="s">
        <v>76</v>
      </c>
      <c r="D361" s="7" t="s">
        <v>69</v>
      </c>
      <c r="E361" s="7" t="s">
        <v>113</v>
      </c>
      <c r="F361" s="7" t="s">
        <v>48</v>
      </c>
      <c r="G361" s="7" t="s">
        <v>49</v>
      </c>
      <c r="H361" s="7" t="s">
        <v>110</v>
      </c>
      <c r="I361" s="7">
        <v>2</v>
      </c>
      <c r="J361" s="9">
        <v>247.11</v>
      </c>
      <c r="K361" s="10">
        <v>5.4100000000000002E-2</v>
      </c>
      <c r="L361" s="9">
        <f t="shared" si="10"/>
        <v>467.48269800000003</v>
      </c>
      <c r="M361" s="9">
        <f>ROUND(L361*0.2555,2)</f>
        <v>119.44</v>
      </c>
      <c r="N361" s="9">
        <f t="shared" si="11"/>
        <v>348.04269800000003</v>
      </c>
    </row>
    <row r="362" spans="1:14" x14ac:dyDescent="0.35">
      <c r="A362" s="7" t="s">
        <v>445</v>
      </c>
      <c r="B362" s="8">
        <v>45793</v>
      </c>
      <c r="C362" s="7" t="s">
        <v>52</v>
      </c>
      <c r="D362" s="7" t="s">
        <v>69</v>
      </c>
      <c r="E362" s="7" t="s">
        <v>132</v>
      </c>
      <c r="F362" s="7" t="s">
        <v>59</v>
      </c>
      <c r="G362" s="7" t="s">
        <v>49</v>
      </c>
      <c r="H362" s="7" t="s">
        <v>64</v>
      </c>
      <c r="I362" s="7">
        <v>6</v>
      </c>
      <c r="J362" s="9">
        <v>77.59</v>
      </c>
      <c r="K362" s="10">
        <v>0.111</v>
      </c>
      <c r="L362" s="9">
        <f t="shared" si="10"/>
        <v>413.86506000000003</v>
      </c>
      <c r="M362" s="9">
        <f>ROUND(L362*0.259,2)</f>
        <v>107.19</v>
      </c>
      <c r="N362" s="9">
        <f t="shared" si="11"/>
        <v>306.67506000000003</v>
      </c>
    </row>
    <row r="363" spans="1:14" x14ac:dyDescent="0.35">
      <c r="A363" s="7" t="s">
        <v>446</v>
      </c>
      <c r="B363" s="8">
        <v>45793</v>
      </c>
      <c r="C363" s="7" t="s">
        <v>39</v>
      </c>
      <c r="D363" s="7" t="s">
        <v>53</v>
      </c>
      <c r="E363" s="7" t="s">
        <v>87</v>
      </c>
      <c r="F363" s="7" t="s">
        <v>48</v>
      </c>
      <c r="G363" s="7" t="s">
        <v>55</v>
      </c>
      <c r="H363" s="7" t="s">
        <v>108</v>
      </c>
      <c r="I363" s="7">
        <v>3</v>
      </c>
      <c r="J363" s="9">
        <v>926.66</v>
      </c>
      <c r="K363" s="10">
        <v>3.8899999999999997E-2</v>
      </c>
      <c r="L363" s="9">
        <f t="shared" si="10"/>
        <v>2671.8387779999998</v>
      </c>
      <c r="M363" s="9">
        <f>ROUND(L363*0.7178,2)</f>
        <v>1917.85</v>
      </c>
      <c r="N363" s="9">
        <f t="shared" si="11"/>
        <v>753.98877799999991</v>
      </c>
    </row>
    <row r="364" spans="1:14" x14ac:dyDescent="0.35">
      <c r="A364" s="7" t="s">
        <v>447</v>
      </c>
      <c r="B364" s="8">
        <v>45794</v>
      </c>
      <c r="C364" s="7" t="s">
        <v>52</v>
      </c>
      <c r="D364" s="7" t="s">
        <v>66</v>
      </c>
      <c r="E364" s="7" t="s">
        <v>73</v>
      </c>
      <c r="F364" s="7" t="s">
        <v>42</v>
      </c>
      <c r="G364" s="7" t="s">
        <v>43</v>
      </c>
      <c r="H364" s="7" t="s">
        <v>64</v>
      </c>
      <c r="I364" s="7">
        <v>25</v>
      </c>
      <c r="J364" s="9">
        <v>36.979999999999997</v>
      </c>
      <c r="K364" s="10">
        <v>0.17180000000000001</v>
      </c>
      <c r="L364" s="9">
        <f t="shared" si="10"/>
        <v>765.67089999999996</v>
      </c>
      <c r="M364" s="9">
        <f>ROUND(L364*0.6038,2)</f>
        <v>462.31</v>
      </c>
      <c r="N364" s="9">
        <f t="shared" si="11"/>
        <v>303.36089999999996</v>
      </c>
    </row>
    <row r="365" spans="1:14" x14ac:dyDescent="0.35">
      <c r="A365" s="7" t="s">
        <v>448</v>
      </c>
      <c r="B365" s="8">
        <v>45794</v>
      </c>
      <c r="C365" s="7" t="s">
        <v>46</v>
      </c>
      <c r="D365" s="7" t="s">
        <v>69</v>
      </c>
      <c r="E365" s="7" t="s">
        <v>119</v>
      </c>
      <c r="F365" s="7" t="s">
        <v>59</v>
      </c>
      <c r="G365" s="7" t="s">
        <v>55</v>
      </c>
      <c r="H365" s="7" t="s">
        <v>74</v>
      </c>
      <c r="I365" s="7">
        <v>4</v>
      </c>
      <c r="J365" s="9">
        <v>200.29</v>
      </c>
      <c r="K365" s="10">
        <v>4.9099999999999998E-2</v>
      </c>
      <c r="L365" s="9">
        <f t="shared" si="10"/>
        <v>761.82304399999998</v>
      </c>
      <c r="M365" s="9">
        <f>ROUND(L365*0.2482,2)</f>
        <v>189.08</v>
      </c>
      <c r="N365" s="9">
        <f t="shared" si="11"/>
        <v>572.74304399999994</v>
      </c>
    </row>
    <row r="366" spans="1:14" x14ac:dyDescent="0.35">
      <c r="A366" s="7" t="s">
        <v>449</v>
      </c>
      <c r="B366" s="8">
        <v>45796</v>
      </c>
      <c r="C366" s="7" t="s">
        <v>46</v>
      </c>
      <c r="D366" s="7" t="s">
        <v>69</v>
      </c>
      <c r="E366" s="7" t="s">
        <v>119</v>
      </c>
      <c r="F366" s="7" t="s">
        <v>48</v>
      </c>
      <c r="G366" s="7" t="s">
        <v>55</v>
      </c>
      <c r="H366" s="7" t="s">
        <v>74</v>
      </c>
      <c r="I366" s="7">
        <v>1</v>
      </c>
      <c r="J366" s="9">
        <v>196.56</v>
      </c>
      <c r="K366" s="10">
        <v>9.1999999999999998E-3</v>
      </c>
      <c r="L366" s="9">
        <f t="shared" si="10"/>
        <v>194.75164800000002</v>
      </c>
      <c r="M366" s="9">
        <f>ROUND(L366*0.2482,2)</f>
        <v>48.34</v>
      </c>
      <c r="N366" s="9">
        <f t="shared" si="11"/>
        <v>146.41164800000001</v>
      </c>
    </row>
    <row r="367" spans="1:14" x14ac:dyDescent="0.35">
      <c r="A367" s="7" t="s">
        <v>450</v>
      </c>
      <c r="B367" s="8">
        <v>45796</v>
      </c>
      <c r="C367" s="7" t="s">
        <v>52</v>
      </c>
      <c r="D367" s="7" t="s">
        <v>53</v>
      </c>
      <c r="E367" s="7" t="s">
        <v>105</v>
      </c>
      <c r="F367" s="7" t="s">
        <v>59</v>
      </c>
      <c r="G367" s="7" t="s">
        <v>55</v>
      </c>
      <c r="H367" s="7" t="s">
        <v>56</v>
      </c>
      <c r="I367" s="7">
        <v>10</v>
      </c>
      <c r="J367" s="9">
        <v>450.51</v>
      </c>
      <c r="K367" s="10">
        <v>5.6800000000000003E-2</v>
      </c>
      <c r="L367" s="9">
        <f t="shared" si="10"/>
        <v>4249.2103200000001</v>
      </c>
      <c r="M367" s="9">
        <f>ROUND(L367*0.6823,2)</f>
        <v>2899.24</v>
      </c>
      <c r="N367" s="9">
        <f t="shared" si="11"/>
        <v>1349.9703200000004</v>
      </c>
    </row>
    <row r="368" spans="1:14" x14ac:dyDescent="0.35">
      <c r="A368" s="7" t="s">
        <v>451</v>
      </c>
      <c r="B368" s="8">
        <v>45796</v>
      </c>
      <c r="C368" s="7" t="s">
        <v>39</v>
      </c>
      <c r="D368" s="7" t="s">
        <v>53</v>
      </c>
      <c r="E368" s="7" t="s">
        <v>87</v>
      </c>
      <c r="F368" s="7" t="s">
        <v>59</v>
      </c>
      <c r="G368" s="7" t="s">
        <v>43</v>
      </c>
      <c r="H368" s="7" t="s">
        <v>60</v>
      </c>
      <c r="I368" s="7">
        <v>6</v>
      </c>
      <c r="J368" s="9">
        <v>864.74</v>
      </c>
      <c r="K368" s="10">
        <v>0.13370000000000001</v>
      </c>
      <c r="L368" s="9">
        <f t="shared" si="10"/>
        <v>4494.7455719999998</v>
      </c>
      <c r="M368" s="9">
        <f>ROUND(L368*0.6812,2)</f>
        <v>3061.82</v>
      </c>
      <c r="N368" s="9">
        <f t="shared" si="11"/>
        <v>1432.9255719999996</v>
      </c>
    </row>
    <row r="369" spans="1:14" x14ac:dyDescent="0.35">
      <c r="A369" s="7" t="s">
        <v>452</v>
      </c>
      <c r="B369" s="8">
        <v>45797</v>
      </c>
      <c r="C369" s="7" t="s">
        <v>52</v>
      </c>
      <c r="D369" s="7" t="s">
        <v>69</v>
      </c>
      <c r="E369" s="7" t="s">
        <v>113</v>
      </c>
      <c r="F369" s="7" t="s">
        <v>59</v>
      </c>
      <c r="G369" s="7" t="s">
        <v>55</v>
      </c>
      <c r="H369" s="7" t="s">
        <v>56</v>
      </c>
      <c r="I369" s="7">
        <v>4</v>
      </c>
      <c r="J369" s="9">
        <v>246.77</v>
      </c>
      <c r="K369" s="10">
        <v>5.6099999999999997E-2</v>
      </c>
      <c r="L369" s="9">
        <f t="shared" si="10"/>
        <v>931.70481199999995</v>
      </c>
      <c r="M369" s="9">
        <f>ROUND(L369*0.2296,2)</f>
        <v>213.92</v>
      </c>
      <c r="N369" s="9">
        <f t="shared" si="11"/>
        <v>717.78481199999999</v>
      </c>
    </row>
    <row r="370" spans="1:14" x14ac:dyDescent="0.35">
      <c r="A370" s="7" t="s">
        <v>453</v>
      </c>
      <c r="B370" s="8">
        <v>45797</v>
      </c>
      <c r="C370" s="7" t="s">
        <v>39</v>
      </c>
      <c r="D370" s="7" t="s">
        <v>53</v>
      </c>
      <c r="E370" s="7" t="s">
        <v>81</v>
      </c>
      <c r="F370" s="7" t="s">
        <v>59</v>
      </c>
      <c r="G370" s="7" t="s">
        <v>43</v>
      </c>
      <c r="H370" s="7" t="s">
        <v>60</v>
      </c>
      <c r="I370" s="7">
        <v>9</v>
      </c>
      <c r="J370" s="9">
        <v>1094.01</v>
      </c>
      <c r="K370" s="10">
        <v>0.1115</v>
      </c>
      <c r="L370" s="9">
        <f t="shared" si="10"/>
        <v>8748.2509649999993</v>
      </c>
      <c r="M370" s="9">
        <f>ROUND(L370*0.7238,2)</f>
        <v>6331.98</v>
      </c>
      <c r="N370" s="9">
        <f t="shared" si="11"/>
        <v>2416.2709649999997</v>
      </c>
    </row>
    <row r="371" spans="1:14" x14ac:dyDescent="0.35">
      <c r="A371" s="7" t="s">
        <v>454</v>
      </c>
      <c r="B371" s="8">
        <v>45798</v>
      </c>
      <c r="C371" s="7" t="s">
        <v>46</v>
      </c>
      <c r="D371" s="7" t="s">
        <v>66</v>
      </c>
      <c r="E371" s="7" t="s">
        <v>73</v>
      </c>
      <c r="F371" s="7" t="s">
        <v>42</v>
      </c>
      <c r="G371" s="7" t="s">
        <v>43</v>
      </c>
      <c r="H371" s="7" t="s">
        <v>95</v>
      </c>
      <c r="I371" s="7">
        <v>36</v>
      </c>
      <c r="J371" s="9">
        <v>37.229999999999997</v>
      </c>
      <c r="K371" s="10">
        <v>0.23799999999999999</v>
      </c>
      <c r="L371" s="9">
        <f t="shared" si="10"/>
        <v>1021.29336</v>
      </c>
      <c r="M371" s="9">
        <f>ROUND(L371*0.5852,2)</f>
        <v>597.66</v>
      </c>
      <c r="N371" s="9">
        <f t="shared" si="11"/>
        <v>423.63336000000004</v>
      </c>
    </row>
    <row r="372" spans="1:14" x14ac:dyDescent="0.35">
      <c r="A372" s="7" t="s">
        <v>455</v>
      </c>
      <c r="B372" s="8">
        <v>45798</v>
      </c>
      <c r="C372" s="7" t="s">
        <v>46</v>
      </c>
      <c r="D372" s="7" t="s">
        <v>66</v>
      </c>
      <c r="E372" s="7" t="s">
        <v>137</v>
      </c>
      <c r="F372" s="7" t="s">
        <v>48</v>
      </c>
      <c r="G372" s="7" t="s">
        <v>55</v>
      </c>
      <c r="H372" s="7" t="s">
        <v>74</v>
      </c>
      <c r="I372" s="7">
        <v>3</v>
      </c>
      <c r="J372" s="9">
        <v>154.76</v>
      </c>
      <c r="K372" s="10">
        <v>4.2299999999999997E-2</v>
      </c>
      <c r="L372" s="9">
        <f t="shared" si="10"/>
        <v>444.64095599999996</v>
      </c>
      <c r="M372" s="9">
        <f>ROUND(L372*0.5964,2)</f>
        <v>265.18</v>
      </c>
      <c r="N372" s="9">
        <f t="shared" si="11"/>
        <v>179.46095599999995</v>
      </c>
    </row>
    <row r="373" spans="1:14" x14ac:dyDescent="0.35">
      <c r="A373" s="7" t="s">
        <v>456</v>
      </c>
      <c r="B373" s="8">
        <v>45799</v>
      </c>
      <c r="C373" s="7" t="s">
        <v>52</v>
      </c>
      <c r="D373" s="7" t="s">
        <v>66</v>
      </c>
      <c r="E373" s="7" t="s">
        <v>67</v>
      </c>
      <c r="F373" s="7" t="s">
        <v>48</v>
      </c>
      <c r="G373" s="7" t="s">
        <v>55</v>
      </c>
      <c r="H373" s="7" t="s">
        <v>56</v>
      </c>
      <c r="I373" s="7">
        <v>2</v>
      </c>
      <c r="J373" s="9">
        <v>91.57</v>
      </c>
      <c r="K373" s="10">
        <v>3.8100000000000002E-2</v>
      </c>
      <c r="L373" s="9">
        <f t="shared" si="10"/>
        <v>176.16236599999999</v>
      </c>
      <c r="M373" s="9">
        <f>ROUND(L373*0.5927,2)</f>
        <v>104.41</v>
      </c>
      <c r="N373" s="9">
        <f t="shared" si="11"/>
        <v>71.752365999999995</v>
      </c>
    </row>
    <row r="374" spans="1:14" x14ac:dyDescent="0.35">
      <c r="A374" s="7" t="s">
        <v>457</v>
      </c>
      <c r="B374" s="8">
        <v>45799</v>
      </c>
      <c r="C374" s="7" t="s">
        <v>39</v>
      </c>
      <c r="D374" s="7" t="s">
        <v>69</v>
      </c>
      <c r="E374" s="7" t="s">
        <v>119</v>
      </c>
      <c r="F374" s="7" t="s">
        <v>48</v>
      </c>
      <c r="G374" s="7" t="s">
        <v>55</v>
      </c>
      <c r="H374" s="7" t="s">
        <v>108</v>
      </c>
      <c r="I374" s="7">
        <v>2</v>
      </c>
      <c r="J374" s="9">
        <v>195.17</v>
      </c>
      <c r="K374" s="10">
        <v>6.93E-2</v>
      </c>
      <c r="L374" s="9">
        <f t="shared" si="10"/>
        <v>363.28943799999996</v>
      </c>
      <c r="M374" s="9">
        <f>ROUND(L374*0.2333,2)</f>
        <v>84.76</v>
      </c>
      <c r="N374" s="9">
        <f t="shared" si="11"/>
        <v>278.52943799999997</v>
      </c>
    </row>
    <row r="375" spans="1:14" x14ac:dyDescent="0.35">
      <c r="A375" s="7" t="s">
        <v>458</v>
      </c>
      <c r="B375" s="8">
        <v>45800</v>
      </c>
      <c r="C375" s="7" t="s">
        <v>52</v>
      </c>
      <c r="D375" s="7" t="s">
        <v>40</v>
      </c>
      <c r="E375" s="7" t="s">
        <v>62</v>
      </c>
      <c r="F375" s="7" t="s">
        <v>59</v>
      </c>
      <c r="G375" s="7" t="s">
        <v>55</v>
      </c>
      <c r="H375" s="7" t="s">
        <v>56</v>
      </c>
      <c r="I375" s="7">
        <v>3</v>
      </c>
      <c r="J375" s="9">
        <v>193.39</v>
      </c>
      <c r="K375" s="10">
        <v>5.3800000000000001E-2</v>
      </c>
      <c r="L375" s="9">
        <f t="shared" si="10"/>
        <v>548.95685400000002</v>
      </c>
      <c r="M375" s="9">
        <f>ROUND(L375*0.6185,2)</f>
        <v>339.53</v>
      </c>
      <c r="N375" s="9">
        <f t="shared" si="11"/>
        <v>209.42685400000005</v>
      </c>
    </row>
    <row r="376" spans="1:14" x14ac:dyDescent="0.35">
      <c r="A376" s="7" t="s">
        <v>459</v>
      </c>
      <c r="B376" s="8">
        <v>45800</v>
      </c>
      <c r="C376" s="7" t="s">
        <v>76</v>
      </c>
      <c r="D376" s="7" t="s">
        <v>53</v>
      </c>
      <c r="E376" s="7" t="s">
        <v>81</v>
      </c>
      <c r="F376" s="7" t="s">
        <v>48</v>
      </c>
      <c r="G376" s="7" t="s">
        <v>55</v>
      </c>
      <c r="H376" s="7" t="s">
        <v>78</v>
      </c>
      <c r="I376" s="7">
        <v>2</v>
      </c>
      <c r="J376" s="9">
        <v>1077.9100000000001</v>
      </c>
      <c r="K376" s="10">
        <v>2.3199999999999998E-2</v>
      </c>
      <c r="L376" s="9">
        <f t="shared" si="10"/>
        <v>2105.8049760000004</v>
      </c>
      <c r="M376" s="9">
        <f>ROUND(L376*0.6819,2)</f>
        <v>1435.95</v>
      </c>
      <c r="N376" s="9">
        <f t="shared" si="11"/>
        <v>669.85497600000031</v>
      </c>
    </row>
    <row r="377" spans="1:14" x14ac:dyDescent="0.35">
      <c r="A377" s="7" t="s">
        <v>460</v>
      </c>
      <c r="B377" s="8">
        <v>45800</v>
      </c>
      <c r="C377" s="7" t="s">
        <v>39</v>
      </c>
      <c r="D377" s="7" t="s">
        <v>53</v>
      </c>
      <c r="E377" s="7" t="s">
        <v>54</v>
      </c>
      <c r="F377" s="7" t="s">
        <v>59</v>
      </c>
      <c r="G377" s="7" t="s">
        <v>55</v>
      </c>
      <c r="H377" s="7" t="s">
        <v>108</v>
      </c>
      <c r="I377" s="7">
        <v>4</v>
      </c>
      <c r="J377" s="9">
        <v>1276.42</v>
      </c>
      <c r="K377" s="10">
        <v>5.6800000000000003E-2</v>
      </c>
      <c r="L377" s="9">
        <f t="shared" si="10"/>
        <v>4815.6773760000005</v>
      </c>
      <c r="M377" s="9">
        <f>ROUND(L377*0.7099,2)</f>
        <v>3418.65</v>
      </c>
      <c r="N377" s="9">
        <f t="shared" si="11"/>
        <v>1397.0273760000005</v>
      </c>
    </row>
    <row r="378" spans="1:14" x14ac:dyDescent="0.35">
      <c r="A378" s="7" t="s">
        <v>461</v>
      </c>
      <c r="B378" s="8">
        <v>45800</v>
      </c>
      <c r="C378" s="7" t="s">
        <v>52</v>
      </c>
      <c r="D378" s="7" t="s">
        <v>53</v>
      </c>
      <c r="E378" s="7" t="s">
        <v>87</v>
      </c>
      <c r="F378" s="7" t="s">
        <v>48</v>
      </c>
      <c r="G378" s="7" t="s">
        <v>55</v>
      </c>
      <c r="H378" s="7" t="s">
        <v>56</v>
      </c>
      <c r="I378" s="7">
        <v>1</v>
      </c>
      <c r="J378" s="9">
        <v>866.59</v>
      </c>
      <c r="K378" s="10">
        <v>2.2100000000000002E-2</v>
      </c>
      <c r="L378" s="9">
        <f t="shared" si="10"/>
        <v>847.43836099999999</v>
      </c>
      <c r="M378" s="9">
        <f>ROUND(L378*0.6961,2)</f>
        <v>589.9</v>
      </c>
      <c r="N378" s="9">
        <f t="shared" si="11"/>
        <v>257.53836100000001</v>
      </c>
    </row>
    <row r="379" spans="1:14" x14ac:dyDescent="0.35">
      <c r="A379" s="7" t="s">
        <v>462</v>
      </c>
      <c r="B379" s="8">
        <v>45801</v>
      </c>
      <c r="C379" s="7" t="s">
        <v>76</v>
      </c>
      <c r="D379" s="7" t="s">
        <v>69</v>
      </c>
      <c r="E379" s="7" t="s">
        <v>107</v>
      </c>
      <c r="F379" s="7" t="s">
        <v>59</v>
      </c>
      <c r="G379" s="7" t="s">
        <v>49</v>
      </c>
      <c r="H379" s="7" t="s">
        <v>151</v>
      </c>
      <c r="I379" s="7">
        <v>6</v>
      </c>
      <c r="J379" s="9">
        <v>58.36</v>
      </c>
      <c r="K379" s="10">
        <v>0.1255</v>
      </c>
      <c r="L379" s="9">
        <f t="shared" si="10"/>
        <v>306.21492000000001</v>
      </c>
      <c r="M379" s="9">
        <f>ROUND(L379*0.2133,2)</f>
        <v>65.319999999999993</v>
      </c>
      <c r="N379" s="9">
        <f t="shared" si="11"/>
        <v>240.89492000000001</v>
      </c>
    </row>
    <row r="380" spans="1:14" x14ac:dyDescent="0.35">
      <c r="A380" s="7" t="s">
        <v>463</v>
      </c>
      <c r="B380" s="8">
        <v>45801</v>
      </c>
      <c r="C380" s="7" t="s">
        <v>39</v>
      </c>
      <c r="D380" s="7" t="s">
        <v>40</v>
      </c>
      <c r="E380" s="7" t="s">
        <v>139</v>
      </c>
      <c r="F380" s="7" t="s">
        <v>42</v>
      </c>
      <c r="G380" s="7" t="s">
        <v>43</v>
      </c>
      <c r="H380" s="7" t="s">
        <v>44</v>
      </c>
      <c r="I380" s="7">
        <v>13</v>
      </c>
      <c r="J380" s="9">
        <v>315.26</v>
      </c>
      <c r="K380" s="10">
        <v>0.14699999999999999</v>
      </c>
      <c r="L380" s="9">
        <f t="shared" si="10"/>
        <v>3495.9181400000002</v>
      </c>
      <c r="M380" s="9">
        <f>ROUND(L380*0.6623,2)</f>
        <v>2315.35</v>
      </c>
      <c r="N380" s="9">
        <f t="shared" si="11"/>
        <v>1180.5681400000003</v>
      </c>
    </row>
    <row r="381" spans="1:14" x14ac:dyDescent="0.35">
      <c r="A381" s="7" t="s">
        <v>464</v>
      </c>
      <c r="B381" s="8">
        <v>45802</v>
      </c>
      <c r="C381" s="7" t="s">
        <v>52</v>
      </c>
      <c r="D381" s="7" t="s">
        <v>69</v>
      </c>
      <c r="E381" s="7" t="s">
        <v>132</v>
      </c>
      <c r="F381" s="7" t="s">
        <v>59</v>
      </c>
      <c r="G381" s="7" t="s">
        <v>55</v>
      </c>
      <c r="H381" s="7" t="s">
        <v>56</v>
      </c>
      <c r="I381" s="7">
        <v>9</v>
      </c>
      <c r="J381" s="9">
        <v>79.84</v>
      </c>
      <c r="K381" s="10">
        <v>6.3399999999999998E-2</v>
      </c>
      <c r="L381" s="9">
        <f t="shared" si="10"/>
        <v>673.00329600000009</v>
      </c>
      <c r="M381" s="9">
        <f>ROUND(L381*0.2679,2)</f>
        <v>180.3</v>
      </c>
      <c r="N381" s="9">
        <f t="shared" si="11"/>
        <v>492.70329600000008</v>
      </c>
    </row>
    <row r="382" spans="1:14" x14ac:dyDescent="0.35">
      <c r="A382" s="7" t="s">
        <v>465</v>
      </c>
      <c r="B382" s="8">
        <v>45802</v>
      </c>
      <c r="C382" s="7" t="s">
        <v>46</v>
      </c>
      <c r="D382" s="7" t="s">
        <v>66</v>
      </c>
      <c r="E382" s="7" t="s">
        <v>137</v>
      </c>
      <c r="F382" s="7" t="s">
        <v>42</v>
      </c>
      <c r="G382" s="7" t="s">
        <v>43</v>
      </c>
      <c r="H382" s="7" t="s">
        <v>50</v>
      </c>
      <c r="I382" s="7">
        <v>19</v>
      </c>
      <c r="J382" s="9">
        <v>157.08000000000001</v>
      </c>
      <c r="K382" s="10">
        <v>0.1774</v>
      </c>
      <c r="L382" s="9">
        <f t="shared" si="10"/>
        <v>2455.0661520000003</v>
      </c>
      <c r="M382" s="9">
        <f>ROUND(L382*0.5651,2)</f>
        <v>1387.36</v>
      </c>
      <c r="N382" s="9">
        <f t="shared" si="11"/>
        <v>1067.7061520000004</v>
      </c>
    </row>
    <row r="383" spans="1:14" x14ac:dyDescent="0.35">
      <c r="A383" s="7" t="s">
        <v>466</v>
      </c>
      <c r="B383" s="8">
        <v>45802</v>
      </c>
      <c r="C383" s="7" t="s">
        <v>52</v>
      </c>
      <c r="D383" s="7" t="s">
        <v>53</v>
      </c>
      <c r="E383" s="7" t="s">
        <v>81</v>
      </c>
      <c r="F383" s="7" t="s">
        <v>59</v>
      </c>
      <c r="G383" s="7" t="s">
        <v>55</v>
      </c>
      <c r="H383" s="7" t="s">
        <v>56</v>
      </c>
      <c r="I383" s="7">
        <v>5</v>
      </c>
      <c r="J383" s="9">
        <v>1055.5999999999999</v>
      </c>
      <c r="K383" s="10">
        <v>5.9400000000000001E-2</v>
      </c>
      <c r="L383" s="9">
        <f t="shared" si="10"/>
        <v>4964.4867999999997</v>
      </c>
      <c r="M383" s="9">
        <f>ROUND(L383*0.694,2)</f>
        <v>3445.35</v>
      </c>
      <c r="N383" s="9">
        <f t="shared" si="11"/>
        <v>1519.1367999999998</v>
      </c>
    </row>
    <row r="384" spans="1:14" x14ac:dyDescent="0.35">
      <c r="A384" s="7" t="s">
        <v>467</v>
      </c>
      <c r="B384" s="8">
        <v>45802</v>
      </c>
      <c r="C384" s="7" t="s">
        <v>39</v>
      </c>
      <c r="D384" s="7" t="s">
        <v>66</v>
      </c>
      <c r="E384" s="7" t="s">
        <v>98</v>
      </c>
      <c r="F384" s="7" t="s">
        <v>48</v>
      </c>
      <c r="G384" s="7" t="s">
        <v>55</v>
      </c>
      <c r="H384" s="7" t="s">
        <v>108</v>
      </c>
      <c r="I384" s="7">
        <v>1</v>
      </c>
      <c r="J384" s="9">
        <v>29.98</v>
      </c>
      <c r="K384" s="10">
        <v>4.0399999999999998E-2</v>
      </c>
      <c r="L384" s="9">
        <f t="shared" si="10"/>
        <v>28.768808</v>
      </c>
      <c r="M384" s="9">
        <f>ROUND(L384*0.5739,2)</f>
        <v>16.510000000000002</v>
      </c>
      <c r="N384" s="9">
        <f t="shared" si="11"/>
        <v>12.258807999999998</v>
      </c>
    </row>
    <row r="385" spans="1:14" x14ac:dyDescent="0.35">
      <c r="A385" s="7" t="s">
        <v>468</v>
      </c>
      <c r="B385" s="8">
        <v>45803</v>
      </c>
      <c r="C385" s="7" t="s">
        <v>39</v>
      </c>
      <c r="D385" s="7" t="s">
        <v>40</v>
      </c>
      <c r="E385" s="7" t="s">
        <v>47</v>
      </c>
      <c r="F385" s="7" t="s">
        <v>48</v>
      </c>
      <c r="G385" s="7" t="s">
        <v>55</v>
      </c>
      <c r="H385" s="7" t="s">
        <v>108</v>
      </c>
      <c r="I385" s="7">
        <v>2</v>
      </c>
      <c r="J385" s="9">
        <v>243.06</v>
      </c>
      <c r="K385" s="10">
        <v>5.4699999999999999E-2</v>
      </c>
      <c r="L385" s="9">
        <f t="shared" si="10"/>
        <v>459.52923600000003</v>
      </c>
      <c r="M385" s="9">
        <f>ROUND(L385*0.6189,2)</f>
        <v>284.39999999999998</v>
      </c>
      <c r="N385" s="9">
        <f t="shared" si="11"/>
        <v>175.12923600000005</v>
      </c>
    </row>
    <row r="386" spans="1:14" x14ac:dyDescent="0.35">
      <c r="A386" s="7" t="s">
        <v>469</v>
      </c>
      <c r="B386" s="8">
        <v>45803</v>
      </c>
      <c r="C386" s="7" t="s">
        <v>52</v>
      </c>
      <c r="D386" s="7" t="s">
        <v>66</v>
      </c>
      <c r="E386" s="7" t="s">
        <v>67</v>
      </c>
      <c r="F386" s="7" t="s">
        <v>42</v>
      </c>
      <c r="G386" s="7" t="s">
        <v>43</v>
      </c>
      <c r="H386" s="7" t="s">
        <v>83</v>
      </c>
      <c r="I386" s="7">
        <v>32</v>
      </c>
      <c r="J386" s="9">
        <v>89.67</v>
      </c>
      <c r="K386" s="10">
        <v>0.1913</v>
      </c>
      <c r="L386" s="9">
        <f t="shared" ref="L386:L449" si="12">I386*J386*(1-K386)</f>
        <v>2320.5161279999998</v>
      </c>
      <c r="M386" s="9">
        <f>ROUND(L386*0.5631,2)</f>
        <v>1306.68</v>
      </c>
      <c r="N386" s="9">
        <f t="shared" ref="N386:N449" si="13">L386-M386</f>
        <v>1013.8361279999997</v>
      </c>
    </row>
    <row r="387" spans="1:14" x14ac:dyDescent="0.35">
      <c r="A387" s="7" t="s">
        <v>470</v>
      </c>
      <c r="B387" s="8">
        <v>45803</v>
      </c>
      <c r="C387" s="7" t="s">
        <v>46</v>
      </c>
      <c r="D387" s="7" t="s">
        <v>53</v>
      </c>
      <c r="E387" s="7" t="s">
        <v>54</v>
      </c>
      <c r="F387" s="7" t="s">
        <v>48</v>
      </c>
      <c r="G387" s="7" t="s">
        <v>49</v>
      </c>
      <c r="H387" s="7" t="s">
        <v>95</v>
      </c>
      <c r="I387" s="7">
        <v>3</v>
      </c>
      <c r="J387" s="9">
        <v>1288.4000000000001</v>
      </c>
      <c r="K387" s="10">
        <v>6.3899999999999998E-2</v>
      </c>
      <c r="L387" s="9">
        <f t="shared" si="12"/>
        <v>3618.2137200000006</v>
      </c>
      <c r="M387" s="9">
        <f>ROUND(L387*0.7139,2)</f>
        <v>2583.04</v>
      </c>
      <c r="N387" s="9">
        <f t="shared" si="13"/>
        <v>1035.1737200000007</v>
      </c>
    </row>
    <row r="388" spans="1:14" x14ac:dyDescent="0.35">
      <c r="A388" s="7" t="s">
        <v>471</v>
      </c>
      <c r="B388" s="8">
        <v>45804</v>
      </c>
      <c r="C388" s="7" t="s">
        <v>52</v>
      </c>
      <c r="D388" s="7" t="s">
        <v>53</v>
      </c>
      <c r="E388" s="7" t="s">
        <v>105</v>
      </c>
      <c r="F388" s="7" t="s">
        <v>48</v>
      </c>
      <c r="G388" s="7" t="s">
        <v>55</v>
      </c>
      <c r="H388" s="7" t="s">
        <v>56</v>
      </c>
      <c r="I388" s="7">
        <v>2</v>
      </c>
      <c r="J388" s="9">
        <v>451.61</v>
      </c>
      <c r="K388" s="10">
        <v>3.9300000000000002E-2</v>
      </c>
      <c r="L388" s="9">
        <f t="shared" si="12"/>
        <v>867.72345400000006</v>
      </c>
      <c r="M388" s="9">
        <f>ROUND(L388*0.6979,2)</f>
        <v>605.58000000000004</v>
      </c>
      <c r="N388" s="9">
        <f t="shared" si="13"/>
        <v>262.14345400000002</v>
      </c>
    </row>
    <row r="389" spans="1:14" x14ac:dyDescent="0.35">
      <c r="A389" s="7" t="s">
        <v>472</v>
      </c>
      <c r="B389" s="8">
        <v>45804</v>
      </c>
      <c r="C389" s="7" t="s">
        <v>39</v>
      </c>
      <c r="D389" s="7" t="s">
        <v>40</v>
      </c>
      <c r="E389" s="7" t="s">
        <v>47</v>
      </c>
      <c r="F389" s="7" t="s">
        <v>59</v>
      </c>
      <c r="G389" s="7" t="s">
        <v>43</v>
      </c>
      <c r="H389" s="7" t="s">
        <v>44</v>
      </c>
      <c r="I389" s="7">
        <v>4</v>
      </c>
      <c r="J389" s="9">
        <v>245.63</v>
      </c>
      <c r="K389" s="10">
        <v>0.1167</v>
      </c>
      <c r="L389" s="9">
        <f t="shared" si="12"/>
        <v>867.859916</v>
      </c>
      <c r="M389" s="9">
        <f>ROUND(L389*0.6588,2)</f>
        <v>571.75</v>
      </c>
      <c r="N389" s="9">
        <f t="shared" si="13"/>
        <v>296.109916</v>
      </c>
    </row>
    <row r="390" spans="1:14" x14ac:dyDescent="0.35">
      <c r="A390" s="7" t="s">
        <v>473</v>
      </c>
      <c r="B390" s="8">
        <v>45806</v>
      </c>
      <c r="C390" s="7" t="s">
        <v>46</v>
      </c>
      <c r="D390" s="7" t="s">
        <v>40</v>
      </c>
      <c r="E390" s="7" t="s">
        <v>47</v>
      </c>
      <c r="F390" s="7" t="s">
        <v>59</v>
      </c>
      <c r="G390" s="7" t="s">
        <v>55</v>
      </c>
      <c r="H390" s="7" t="s">
        <v>74</v>
      </c>
      <c r="I390" s="7">
        <v>7</v>
      </c>
      <c r="J390" s="9">
        <v>249.48</v>
      </c>
      <c r="K390" s="10">
        <v>4.0500000000000001E-2</v>
      </c>
      <c r="L390" s="9">
        <f t="shared" si="12"/>
        <v>1675.6324199999999</v>
      </c>
      <c r="M390" s="9">
        <f>ROUND(L390*0.6685,2)</f>
        <v>1120.1600000000001</v>
      </c>
      <c r="N390" s="9">
        <f t="shared" si="13"/>
        <v>555.47241999999983</v>
      </c>
    </row>
    <row r="391" spans="1:14" x14ac:dyDescent="0.35">
      <c r="A391" s="7" t="s">
        <v>474</v>
      </c>
      <c r="B391" s="8">
        <v>45806</v>
      </c>
      <c r="C391" s="7" t="s">
        <v>46</v>
      </c>
      <c r="D391" s="7" t="s">
        <v>40</v>
      </c>
      <c r="E391" s="7" t="s">
        <v>139</v>
      </c>
      <c r="F391" s="7" t="s">
        <v>59</v>
      </c>
      <c r="G391" s="7" t="s">
        <v>43</v>
      </c>
      <c r="H391" s="7" t="s">
        <v>50</v>
      </c>
      <c r="I391" s="7">
        <v>4</v>
      </c>
      <c r="J391" s="9">
        <v>323.14999999999998</v>
      </c>
      <c r="K391" s="10">
        <v>8.7400000000000005E-2</v>
      </c>
      <c r="L391" s="9">
        <f t="shared" si="12"/>
        <v>1179.6267599999999</v>
      </c>
      <c r="M391" s="9">
        <f>ROUND(L391*0.6692,2)</f>
        <v>789.41</v>
      </c>
      <c r="N391" s="9">
        <f t="shared" si="13"/>
        <v>390.21675999999991</v>
      </c>
    </row>
    <row r="392" spans="1:14" x14ac:dyDescent="0.35">
      <c r="A392" s="7" t="s">
        <v>475</v>
      </c>
      <c r="B392" s="8">
        <v>45806</v>
      </c>
      <c r="C392" s="7" t="s">
        <v>39</v>
      </c>
      <c r="D392" s="7" t="s">
        <v>40</v>
      </c>
      <c r="E392" s="7" t="s">
        <v>47</v>
      </c>
      <c r="F392" s="7" t="s">
        <v>59</v>
      </c>
      <c r="G392" s="7" t="s">
        <v>49</v>
      </c>
      <c r="H392" s="7" t="s">
        <v>60</v>
      </c>
      <c r="I392" s="7">
        <v>3</v>
      </c>
      <c r="J392" s="9">
        <v>236.59</v>
      </c>
      <c r="K392" s="10">
        <v>6.5100000000000005E-2</v>
      </c>
      <c r="L392" s="9">
        <f t="shared" si="12"/>
        <v>663.56397299999992</v>
      </c>
      <c r="M392" s="9">
        <f>ROUND(L392*0.633,2)</f>
        <v>420.04</v>
      </c>
      <c r="N392" s="9">
        <f t="shared" si="13"/>
        <v>243.5239729999999</v>
      </c>
    </row>
    <row r="393" spans="1:14" x14ac:dyDescent="0.35">
      <c r="A393" s="7" t="s">
        <v>476</v>
      </c>
      <c r="B393" s="8">
        <v>45806</v>
      </c>
      <c r="C393" s="7" t="s">
        <v>76</v>
      </c>
      <c r="D393" s="7" t="s">
        <v>66</v>
      </c>
      <c r="E393" s="7" t="s">
        <v>67</v>
      </c>
      <c r="F393" s="7" t="s">
        <v>48</v>
      </c>
      <c r="G393" s="7" t="s">
        <v>49</v>
      </c>
      <c r="H393" s="7" t="s">
        <v>110</v>
      </c>
      <c r="I393" s="7">
        <v>1</v>
      </c>
      <c r="J393" s="9">
        <v>88.44</v>
      </c>
      <c r="K393" s="10">
        <v>4.1700000000000001E-2</v>
      </c>
      <c r="L393" s="9">
        <f t="shared" si="12"/>
        <v>84.752052000000006</v>
      </c>
      <c r="M393" s="9">
        <f>ROUND(L393*0.586,2)</f>
        <v>49.66</v>
      </c>
      <c r="N393" s="9">
        <f t="shared" si="13"/>
        <v>35.09205200000001</v>
      </c>
    </row>
    <row r="394" spans="1:14" x14ac:dyDescent="0.35">
      <c r="A394" s="7" t="s">
        <v>477</v>
      </c>
      <c r="B394" s="8">
        <v>45807</v>
      </c>
      <c r="C394" s="7" t="s">
        <v>76</v>
      </c>
      <c r="D394" s="7" t="s">
        <v>66</v>
      </c>
      <c r="E394" s="7" t="s">
        <v>77</v>
      </c>
      <c r="F394" s="7" t="s">
        <v>48</v>
      </c>
      <c r="G394" s="7" t="s">
        <v>49</v>
      </c>
      <c r="H394" s="7" t="s">
        <v>110</v>
      </c>
      <c r="I394" s="7">
        <v>2</v>
      </c>
      <c r="J394" s="9">
        <v>97.83</v>
      </c>
      <c r="K394" s="10">
        <v>4.5999999999999999E-3</v>
      </c>
      <c r="L394" s="9">
        <f t="shared" si="12"/>
        <v>194.759964</v>
      </c>
      <c r="M394" s="9">
        <f>ROUND(L394*0.5607,2)</f>
        <v>109.2</v>
      </c>
      <c r="N394" s="9">
        <f t="shared" si="13"/>
        <v>85.559963999999994</v>
      </c>
    </row>
    <row r="395" spans="1:14" x14ac:dyDescent="0.35">
      <c r="A395" s="7" t="s">
        <v>478</v>
      </c>
      <c r="B395" s="8">
        <v>45807</v>
      </c>
      <c r="C395" s="7" t="s">
        <v>52</v>
      </c>
      <c r="D395" s="7" t="s">
        <v>69</v>
      </c>
      <c r="E395" s="7" t="s">
        <v>132</v>
      </c>
      <c r="F395" s="7" t="s">
        <v>59</v>
      </c>
      <c r="G395" s="7" t="s">
        <v>49</v>
      </c>
      <c r="H395" s="7" t="s">
        <v>71</v>
      </c>
      <c r="I395" s="7">
        <v>9</v>
      </c>
      <c r="J395" s="9">
        <v>75.739999999999995</v>
      </c>
      <c r="K395" s="10">
        <v>0.1439</v>
      </c>
      <c r="L395" s="9">
        <f t="shared" si="12"/>
        <v>583.56912599999998</v>
      </c>
      <c r="M395" s="9">
        <f>ROUND(L395*0.2607,2)</f>
        <v>152.13999999999999</v>
      </c>
      <c r="N395" s="9">
        <f t="shared" si="13"/>
        <v>431.429126</v>
      </c>
    </row>
    <row r="396" spans="1:14" x14ac:dyDescent="0.35">
      <c r="A396" s="7" t="s">
        <v>479</v>
      </c>
      <c r="B396" s="8">
        <v>45807</v>
      </c>
      <c r="C396" s="7" t="s">
        <v>46</v>
      </c>
      <c r="D396" s="7" t="s">
        <v>53</v>
      </c>
      <c r="E396" s="7" t="s">
        <v>81</v>
      </c>
      <c r="F396" s="7" t="s">
        <v>59</v>
      </c>
      <c r="G396" s="7" t="s">
        <v>49</v>
      </c>
      <c r="H396" s="7" t="s">
        <v>50</v>
      </c>
      <c r="I396" s="7">
        <v>9</v>
      </c>
      <c r="J396" s="9">
        <v>1038.1300000000001</v>
      </c>
      <c r="K396" s="10">
        <v>0.1016</v>
      </c>
      <c r="L396" s="9">
        <f t="shared" si="12"/>
        <v>8393.9039280000015</v>
      </c>
      <c r="M396" s="9">
        <f>ROUND(L396*0.6912,2)</f>
        <v>5801.87</v>
      </c>
      <c r="N396" s="9">
        <f t="shared" si="13"/>
        <v>2592.0339280000017</v>
      </c>
    </row>
    <row r="397" spans="1:14" x14ac:dyDescent="0.35">
      <c r="A397" s="7" t="s">
        <v>480</v>
      </c>
      <c r="B397" s="8">
        <v>45807</v>
      </c>
      <c r="C397" s="7" t="s">
        <v>52</v>
      </c>
      <c r="D397" s="7" t="s">
        <v>53</v>
      </c>
      <c r="E397" s="7" t="s">
        <v>58</v>
      </c>
      <c r="F397" s="7" t="s">
        <v>48</v>
      </c>
      <c r="G397" s="7" t="s">
        <v>55</v>
      </c>
      <c r="H397" s="7" t="s">
        <v>56</v>
      </c>
      <c r="I397" s="7">
        <v>2</v>
      </c>
      <c r="J397" s="9">
        <v>701.59</v>
      </c>
      <c r="K397" s="10">
        <v>3.9399999999999998E-2</v>
      </c>
      <c r="L397" s="9">
        <f t="shared" si="12"/>
        <v>1347.894708</v>
      </c>
      <c r="M397" s="9">
        <f>ROUND(L397*0.7083,2)</f>
        <v>954.71</v>
      </c>
      <c r="N397" s="9">
        <f t="shared" si="13"/>
        <v>393.184708</v>
      </c>
    </row>
    <row r="398" spans="1:14" x14ac:dyDescent="0.35">
      <c r="A398" s="7" t="s">
        <v>481</v>
      </c>
      <c r="B398" s="8">
        <v>45808</v>
      </c>
      <c r="C398" s="7" t="s">
        <v>76</v>
      </c>
      <c r="D398" s="7" t="s">
        <v>40</v>
      </c>
      <c r="E398" s="7" t="s">
        <v>139</v>
      </c>
      <c r="F398" s="7" t="s">
        <v>59</v>
      </c>
      <c r="G398" s="7" t="s">
        <v>55</v>
      </c>
      <c r="H398" s="7" t="s">
        <v>78</v>
      </c>
      <c r="I398" s="7">
        <v>8</v>
      </c>
      <c r="J398" s="9">
        <v>327.60000000000002</v>
      </c>
      <c r="K398" s="10">
        <v>4.4699999999999997E-2</v>
      </c>
      <c r="L398" s="9">
        <f t="shared" si="12"/>
        <v>2503.6502400000004</v>
      </c>
      <c r="M398" s="9">
        <f>ROUND(L398*0.625,2)</f>
        <v>1564.78</v>
      </c>
      <c r="N398" s="9">
        <f t="shared" si="13"/>
        <v>938.87024000000042</v>
      </c>
    </row>
    <row r="399" spans="1:14" x14ac:dyDescent="0.35">
      <c r="A399" s="7" t="s">
        <v>482</v>
      </c>
      <c r="B399" s="8">
        <v>45808</v>
      </c>
      <c r="C399" s="7" t="s">
        <v>39</v>
      </c>
      <c r="D399" s="7" t="s">
        <v>40</v>
      </c>
      <c r="E399" s="7" t="s">
        <v>62</v>
      </c>
      <c r="F399" s="7" t="s">
        <v>59</v>
      </c>
      <c r="G399" s="7" t="s">
        <v>49</v>
      </c>
      <c r="H399" s="7" t="s">
        <v>60</v>
      </c>
      <c r="I399" s="7">
        <v>9</v>
      </c>
      <c r="J399" s="9">
        <v>193.49</v>
      </c>
      <c r="K399" s="10">
        <v>0.1086</v>
      </c>
      <c r="L399" s="9">
        <f t="shared" si="12"/>
        <v>1552.292874</v>
      </c>
      <c r="M399" s="9">
        <f>ROUND(L399*0.6623,2)</f>
        <v>1028.08</v>
      </c>
      <c r="N399" s="9">
        <f t="shared" si="13"/>
        <v>524.21287400000006</v>
      </c>
    </row>
    <row r="400" spans="1:14" x14ac:dyDescent="0.35">
      <c r="A400" s="7" t="s">
        <v>483</v>
      </c>
      <c r="B400" s="8">
        <v>45808</v>
      </c>
      <c r="C400" s="7" t="s">
        <v>52</v>
      </c>
      <c r="D400" s="7" t="s">
        <v>66</v>
      </c>
      <c r="E400" s="7" t="s">
        <v>77</v>
      </c>
      <c r="F400" s="7" t="s">
        <v>59</v>
      </c>
      <c r="G400" s="7" t="s">
        <v>49</v>
      </c>
      <c r="H400" s="7" t="s">
        <v>71</v>
      </c>
      <c r="I400" s="7">
        <v>5</v>
      </c>
      <c r="J400" s="9">
        <v>94.45</v>
      </c>
      <c r="K400" s="10">
        <v>0.10829999999999999</v>
      </c>
      <c r="L400" s="9">
        <f t="shared" si="12"/>
        <v>421.10532500000005</v>
      </c>
      <c r="M400" s="9">
        <f>ROUND(L400*0.5945,2)</f>
        <v>250.35</v>
      </c>
      <c r="N400" s="9">
        <f t="shared" si="13"/>
        <v>170.75532500000006</v>
      </c>
    </row>
    <row r="401" spans="1:14" x14ac:dyDescent="0.35">
      <c r="A401" s="7" t="s">
        <v>484</v>
      </c>
      <c r="B401" s="8">
        <v>45808</v>
      </c>
      <c r="C401" s="7" t="s">
        <v>76</v>
      </c>
      <c r="D401" s="7" t="s">
        <v>69</v>
      </c>
      <c r="E401" s="7" t="s">
        <v>113</v>
      </c>
      <c r="F401" s="7" t="s">
        <v>42</v>
      </c>
      <c r="G401" s="7" t="s">
        <v>43</v>
      </c>
      <c r="H401" s="7" t="s">
        <v>110</v>
      </c>
      <c r="I401" s="7">
        <v>26</v>
      </c>
      <c r="J401" s="9">
        <v>251.19</v>
      </c>
      <c r="K401" s="10">
        <v>0.22289999999999999</v>
      </c>
      <c r="L401" s="9">
        <f t="shared" si="12"/>
        <v>5075.1934739999997</v>
      </c>
      <c r="M401" s="9">
        <f>ROUND(L401*0.2627,2)</f>
        <v>1333.25</v>
      </c>
      <c r="N401" s="9">
        <f t="shared" si="13"/>
        <v>3741.9434739999997</v>
      </c>
    </row>
    <row r="402" spans="1:14" x14ac:dyDescent="0.35">
      <c r="A402" s="7" t="s">
        <v>485</v>
      </c>
      <c r="B402" s="8">
        <v>45809</v>
      </c>
      <c r="C402" s="7" t="s">
        <v>39</v>
      </c>
      <c r="D402" s="7" t="s">
        <v>53</v>
      </c>
      <c r="E402" s="7" t="s">
        <v>87</v>
      </c>
      <c r="F402" s="7" t="s">
        <v>48</v>
      </c>
      <c r="G402" s="7" t="s">
        <v>49</v>
      </c>
      <c r="H402" s="7" t="s">
        <v>60</v>
      </c>
      <c r="I402" s="7">
        <v>2</v>
      </c>
      <c r="J402" s="9">
        <v>865.67</v>
      </c>
      <c r="K402" s="10">
        <v>4.7600000000000003E-2</v>
      </c>
      <c r="L402" s="9">
        <f t="shared" si="12"/>
        <v>1648.928216</v>
      </c>
      <c r="M402" s="9">
        <f>ROUND(L402*0.7056,2)</f>
        <v>1163.48</v>
      </c>
      <c r="N402" s="9">
        <f t="shared" si="13"/>
        <v>485.448216</v>
      </c>
    </row>
    <row r="403" spans="1:14" x14ac:dyDescent="0.35">
      <c r="A403" s="7" t="s">
        <v>486</v>
      </c>
      <c r="B403" s="8">
        <v>45810</v>
      </c>
      <c r="C403" s="7" t="s">
        <v>52</v>
      </c>
      <c r="D403" s="7" t="s">
        <v>40</v>
      </c>
      <c r="E403" s="7" t="s">
        <v>47</v>
      </c>
      <c r="F403" s="7" t="s">
        <v>48</v>
      </c>
      <c r="G403" s="7" t="s">
        <v>49</v>
      </c>
      <c r="H403" s="7" t="s">
        <v>64</v>
      </c>
      <c r="I403" s="7">
        <v>2</v>
      </c>
      <c r="J403" s="9">
        <v>233.85</v>
      </c>
      <c r="K403" s="10">
        <v>7.1900000000000006E-2</v>
      </c>
      <c r="L403" s="9">
        <f t="shared" si="12"/>
        <v>434.07236999999998</v>
      </c>
      <c r="M403" s="9">
        <f>ROUND(L403*0.6544,2)</f>
        <v>284.06</v>
      </c>
      <c r="N403" s="9">
        <f t="shared" si="13"/>
        <v>150.01236999999998</v>
      </c>
    </row>
    <row r="404" spans="1:14" x14ac:dyDescent="0.35">
      <c r="A404" s="7" t="s">
        <v>487</v>
      </c>
      <c r="B404" s="8">
        <v>45811</v>
      </c>
      <c r="C404" s="7" t="s">
        <v>39</v>
      </c>
      <c r="D404" s="7" t="s">
        <v>40</v>
      </c>
      <c r="E404" s="7" t="s">
        <v>41</v>
      </c>
      <c r="F404" s="7" t="s">
        <v>48</v>
      </c>
      <c r="G404" s="7" t="s">
        <v>49</v>
      </c>
      <c r="H404" s="7" t="s">
        <v>44</v>
      </c>
      <c r="I404" s="7">
        <v>3</v>
      </c>
      <c r="J404" s="9">
        <v>396.73</v>
      </c>
      <c r="K404" s="10">
        <v>6.3200000000000006E-2</v>
      </c>
      <c r="L404" s="9">
        <f t="shared" si="12"/>
        <v>1114.969992</v>
      </c>
      <c r="M404" s="9">
        <f>ROUND(L404*0.6517,2)</f>
        <v>726.63</v>
      </c>
      <c r="N404" s="9">
        <f t="shared" si="13"/>
        <v>388.33999200000005</v>
      </c>
    </row>
    <row r="405" spans="1:14" x14ac:dyDescent="0.35">
      <c r="A405" s="7" t="s">
        <v>488</v>
      </c>
      <c r="B405" s="8">
        <v>45812</v>
      </c>
      <c r="C405" s="7" t="s">
        <v>52</v>
      </c>
      <c r="D405" s="7" t="s">
        <v>40</v>
      </c>
      <c r="E405" s="7" t="s">
        <v>62</v>
      </c>
      <c r="F405" s="7" t="s">
        <v>48</v>
      </c>
      <c r="G405" s="7" t="s">
        <v>55</v>
      </c>
      <c r="H405" s="7" t="s">
        <v>56</v>
      </c>
      <c r="I405" s="7">
        <v>2</v>
      </c>
      <c r="J405" s="9">
        <v>197.71</v>
      </c>
      <c r="K405" s="10">
        <v>2.8E-3</v>
      </c>
      <c r="L405" s="9">
        <f t="shared" si="12"/>
        <v>394.31282399999998</v>
      </c>
      <c r="M405" s="9">
        <f>ROUND(L405*0.6516,2)</f>
        <v>256.93</v>
      </c>
      <c r="N405" s="9">
        <f t="shared" si="13"/>
        <v>137.38282399999997</v>
      </c>
    </row>
    <row r="406" spans="1:14" x14ac:dyDescent="0.35">
      <c r="A406" s="7" t="s">
        <v>489</v>
      </c>
      <c r="B406" s="8">
        <v>45812</v>
      </c>
      <c r="C406" s="7" t="s">
        <v>76</v>
      </c>
      <c r="D406" s="7" t="s">
        <v>66</v>
      </c>
      <c r="E406" s="7" t="s">
        <v>77</v>
      </c>
      <c r="F406" s="7" t="s">
        <v>48</v>
      </c>
      <c r="G406" s="7" t="s">
        <v>55</v>
      </c>
      <c r="H406" s="7" t="s">
        <v>78</v>
      </c>
      <c r="I406" s="7">
        <v>2</v>
      </c>
      <c r="J406" s="9">
        <v>98.06</v>
      </c>
      <c r="K406" s="10">
        <v>2.9100000000000001E-2</v>
      </c>
      <c r="L406" s="9">
        <f t="shared" si="12"/>
        <v>190.41290799999999</v>
      </c>
      <c r="M406" s="9">
        <f>ROUND(L406*0.5518,2)</f>
        <v>105.07</v>
      </c>
      <c r="N406" s="9">
        <f t="shared" si="13"/>
        <v>85.342907999999994</v>
      </c>
    </row>
    <row r="407" spans="1:14" x14ac:dyDescent="0.35">
      <c r="A407" s="7" t="s">
        <v>490</v>
      </c>
      <c r="B407" s="8">
        <v>45813</v>
      </c>
      <c r="C407" s="7" t="s">
        <v>52</v>
      </c>
      <c r="D407" s="7" t="s">
        <v>66</v>
      </c>
      <c r="E407" s="7" t="s">
        <v>67</v>
      </c>
      <c r="F407" s="7" t="s">
        <v>42</v>
      </c>
      <c r="G407" s="7" t="s">
        <v>43</v>
      </c>
      <c r="H407" s="7" t="s">
        <v>64</v>
      </c>
      <c r="I407" s="7">
        <v>18</v>
      </c>
      <c r="J407" s="9">
        <v>87.26</v>
      </c>
      <c r="K407" s="10">
        <v>0.19120000000000001</v>
      </c>
      <c r="L407" s="9">
        <f t="shared" si="12"/>
        <v>1270.365984</v>
      </c>
      <c r="M407" s="9">
        <f>ROUND(L407*0.5798,2)</f>
        <v>736.56</v>
      </c>
      <c r="N407" s="9">
        <f t="shared" si="13"/>
        <v>533.80598400000008</v>
      </c>
    </row>
    <row r="408" spans="1:14" x14ac:dyDescent="0.35">
      <c r="A408" s="7" t="s">
        <v>491</v>
      </c>
      <c r="B408" s="8">
        <v>45813</v>
      </c>
      <c r="C408" s="7" t="s">
        <v>46</v>
      </c>
      <c r="D408" s="7" t="s">
        <v>53</v>
      </c>
      <c r="E408" s="7" t="s">
        <v>87</v>
      </c>
      <c r="F408" s="7" t="s">
        <v>48</v>
      </c>
      <c r="G408" s="7" t="s">
        <v>55</v>
      </c>
      <c r="H408" s="7" t="s">
        <v>74</v>
      </c>
      <c r="I408" s="7">
        <v>1</v>
      </c>
      <c r="J408" s="9">
        <v>933.78</v>
      </c>
      <c r="K408" s="10">
        <v>1.7600000000000001E-2</v>
      </c>
      <c r="L408" s="9">
        <f t="shared" si="12"/>
        <v>917.34547199999997</v>
      </c>
      <c r="M408" s="9">
        <f>ROUND(L408*0.6888,2)</f>
        <v>631.87</v>
      </c>
      <c r="N408" s="9">
        <f t="shared" si="13"/>
        <v>285.47547199999997</v>
      </c>
    </row>
    <row r="409" spans="1:14" x14ac:dyDescent="0.35">
      <c r="A409" s="7" t="s">
        <v>492</v>
      </c>
      <c r="B409" s="8">
        <v>45813</v>
      </c>
      <c r="C409" s="7" t="s">
        <v>39</v>
      </c>
      <c r="D409" s="7" t="s">
        <v>40</v>
      </c>
      <c r="E409" s="7" t="s">
        <v>47</v>
      </c>
      <c r="F409" s="7" t="s">
        <v>59</v>
      </c>
      <c r="G409" s="7" t="s">
        <v>55</v>
      </c>
      <c r="H409" s="7" t="s">
        <v>108</v>
      </c>
      <c r="I409" s="7">
        <v>3</v>
      </c>
      <c r="J409" s="9">
        <v>242.59</v>
      </c>
      <c r="K409" s="10">
        <v>5.5899999999999998E-2</v>
      </c>
      <c r="L409" s="9">
        <f t="shared" si="12"/>
        <v>687.08765700000004</v>
      </c>
      <c r="M409" s="9">
        <f>ROUND(L409*0.6142,2)</f>
        <v>422.01</v>
      </c>
      <c r="N409" s="9">
        <f t="shared" si="13"/>
        <v>265.07765700000004</v>
      </c>
    </row>
    <row r="410" spans="1:14" x14ac:dyDescent="0.35">
      <c r="A410" s="7" t="s">
        <v>493</v>
      </c>
      <c r="B410" s="8">
        <v>45813</v>
      </c>
      <c r="C410" s="7" t="s">
        <v>39</v>
      </c>
      <c r="D410" s="7" t="s">
        <v>53</v>
      </c>
      <c r="E410" s="7" t="s">
        <v>105</v>
      </c>
      <c r="F410" s="7" t="s">
        <v>59</v>
      </c>
      <c r="G410" s="7" t="s">
        <v>43</v>
      </c>
      <c r="H410" s="7" t="s">
        <v>44</v>
      </c>
      <c r="I410" s="7">
        <v>3</v>
      </c>
      <c r="J410" s="9">
        <v>449.32</v>
      </c>
      <c r="K410" s="10">
        <v>9.3200000000000005E-2</v>
      </c>
      <c r="L410" s="9">
        <f t="shared" si="12"/>
        <v>1222.3301280000001</v>
      </c>
      <c r="M410" s="9">
        <f>ROUND(L410*0.6825,2)</f>
        <v>834.24</v>
      </c>
      <c r="N410" s="9">
        <f t="shared" si="13"/>
        <v>388.09012800000005</v>
      </c>
    </row>
    <row r="411" spans="1:14" x14ac:dyDescent="0.35">
      <c r="A411" s="7" t="s">
        <v>494</v>
      </c>
      <c r="B411" s="8">
        <v>45813</v>
      </c>
      <c r="C411" s="7" t="s">
        <v>39</v>
      </c>
      <c r="D411" s="7" t="s">
        <v>40</v>
      </c>
      <c r="E411" s="7" t="s">
        <v>139</v>
      </c>
      <c r="F411" s="7" t="s">
        <v>59</v>
      </c>
      <c r="G411" s="7" t="s">
        <v>55</v>
      </c>
      <c r="H411" s="7" t="s">
        <v>108</v>
      </c>
      <c r="I411" s="7">
        <v>5</v>
      </c>
      <c r="J411" s="9">
        <v>316.89</v>
      </c>
      <c r="K411" s="10">
        <v>5.62E-2</v>
      </c>
      <c r="L411" s="9">
        <f t="shared" si="12"/>
        <v>1495.4039099999998</v>
      </c>
      <c r="M411" s="9">
        <f>ROUND(L411*0.6458,2)</f>
        <v>965.73</v>
      </c>
      <c r="N411" s="9">
        <f t="shared" si="13"/>
        <v>529.67390999999975</v>
      </c>
    </row>
    <row r="412" spans="1:14" x14ac:dyDescent="0.35">
      <c r="A412" s="7" t="s">
        <v>495</v>
      </c>
      <c r="B412" s="8">
        <v>45813</v>
      </c>
      <c r="C412" s="7" t="s">
        <v>46</v>
      </c>
      <c r="D412" s="7" t="s">
        <v>69</v>
      </c>
      <c r="E412" s="7" t="s">
        <v>107</v>
      </c>
      <c r="F412" s="7" t="s">
        <v>48</v>
      </c>
      <c r="G412" s="7" t="s">
        <v>49</v>
      </c>
      <c r="H412" s="7" t="s">
        <v>50</v>
      </c>
      <c r="I412" s="7">
        <v>1</v>
      </c>
      <c r="J412" s="9">
        <v>56.4</v>
      </c>
      <c r="K412" s="10">
        <v>4.9200000000000001E-2</v>
      </c>
      <c r="L412" s="9">
        <f t="shared" si="12"/>
        <v>53.625119999999995</v>
      </c>
      <c r="M412" s="9">
        <f>ROUND(L412*0.247,2)</f>
        <v>13.25</v>
      </c>
      <c r="N412" s="9">
        <f t="shared" si="13"/>
        <v>40.375119999999995</v>
      </c>
    </row>
    <row r="413" spans="1:14" x14ac:dyDescent="0.35">
      <c r="A413" s="7" t="s">
        <v>496</v>
      </c>
      <c r="B413" s="8">
        <v>45813</v>
      </c>
      <c r="C413" s="7" t="s">
        <v>39</v>
      </c>
      <c r="D413" s="7" t="s">
        <v>66</v>
      </c>
      <c r="E413" s="7" t="s">
        <v>98</v>
      </c>
      <c r="F413" s="7" t="s">
        <v>48</v>
      </c>
      <c r="G413" s="7" t="s">
        <v>55</v>
      </c>
      <c r="H413" s="7" t="s">
        <v>108</v>
      </c>
      <c r="I413" s="7">
        <v>3</v>
      </c>
      <c r="J413" s="9">
        <v>30.09</v>
      </c>
      <c r="K413" s="10">
        <v>1.6799999999999999E-2</v>
      </c>
      <c r="L413" s="9">
        <f t="shared" si="12"/>
        <v>88.753463999999994</v>
      </c>
      <c r="M413" s="9">
        <f>ROUND(L413*0.6027,2)</f>
        <v>53.49</v>
      </c>
      <c r="N413" s="9">
        <f t="shared" si="13"/>
        <v>35.263463999999992</v>
      </c>
    </row>
    <row r="414" spans="1:14" x14ac:dyDescent="0.35">
      <c r="A414" s="7" t="s">
        <v>497</v>
      </c>
      <c r="B414" s="8">
        <v>45813</v>
      </c>
      <c r="C414" s="7" t="s">
        <v>52</v>
      </c>
      <c r="D414" s="7" t="s">
        <v>53</v>
      </c>
      <c r="E414" s="7" t="s">
        <v>81</v>
      </c>
      <c r="F414" s="7" t="s">
        <v>42</v>
      </c>
      <c r="G414" s="7" t="s">
        <v>43</v>
      </c>
      <c r="H414" s="7" t="s">
        <v>83</v>
      </c>
      <c r="I414" s="7">
        <v>18</v>
      </c>
      <c r="J414" s="9">
        <v>1042.58</v>
      </c>
      <c r="K414" s="10">
        <v>0.17810000000000001</v>
      </c>
      <c r="L414" s="9">
        <f t="shared" si="12"/>
        <v>15424.137035999998</v>
      </c>
      <c r="M414" s="9">
        <f>ROUND(L414*0.7272,2)</f>
        <v>11216.43</v>
      </c>
      <c r="N414" s="9">
        <f t="shared" si="13"/>
        <v>4207.707035999998</v>
      </c>
    </row>
    <row r="415" spans="1:14" x14ac:dyDescent="0.35">
      <c r="A415" s="7" t="s">
        <v>498</v>
      </c>
      <c r="B415" s="8">
        <v>45814</v>
      </c>
      <c r="C415" s="7" t="s">
        <v>46</v>
      </c>
      <c r="D415" s="7" t="s">
        <v>40</v>
      </c>
      <c r="E415" s="7" t="s">
        <v>91</v>
      </c>
      <c r="F415" s="7" t="s">
        <v>48</v>
      </c>
      <c r="G415" s="7" t="s">
        <v>55</v>
      </c>
      <c r="H415" s="7" t="s">
        <v>74</v>
      </c>
      <c r="I415" s="7">
        <v>1</v>
      </c>
      <c r="J415" s="9">
        <v>129.07</v>
      </c>
      <c r="K415" s="10">
        <v>4.9299999999999997E-2</v>
      </c>
      <c r="L415" s="9">
        <f t="shared" si="12"/>
        <v>122.70684899999999</v>
      </c>
      <c r="M415" s="9">
        <f>ROUND(L415*0.6327,2)</f>
        <v>77.64</v>
      </c>
      <c r="N415" s="9">
        <f t="shared" si="13"/>
        <v>45.066848999999991</v>
      </c>
    </row>
    <row r="416" spans="1:14" x14ac:dyDescent="0.35">
      <c r="A416" s="7" t="s">
        <v>499</v>
      </c>
      <c r="B416" s="8">
        <v>45814</v>
      </c>
      <c r="C416" s="7" t="s">
        <v>52</v>
      </c>
      <c r="D416" s="7" t="s">
        <v>69</v>
      </c>
      <c r="E416" s="7" t="s">
        <v>107</v>
      </c>
      <c r="F416" s="7" t="s">
        <v>59</v>
      </c>
      <c r="G416" s="7" t="s">
        <v>43</v>
      </c>
      <c r="H416" s="7" t="s">
        <v>71</v>
      </c>
      <c r="I416" s="7">
        <v>4</v>
      </c>
      <c r="J416" s="9">
        <v>57.25</v>
      </c>
      <c r="K416" s="10">
        <v>0.1464</v>
      </c>
      <c r="L416" s="9">
        <f t="shared" si="12"/>
        <v>195.4744</v>
      </c>
      <c r="M416" s="9">
        <f>ROUND(L416*0.2434,2)</f>
        <v>47.58</v>
      </c>
      <c r="N416" s="9">
        <f t="shared" si="13"/>
        <v>147.89440000000002</v>
      </c>
    </row>
    <row r="417" spans="1:14" x14ac:dyDescent="0.35">
      <c r="A417" s="7" t="s">
        <v>500</v>
      </c>
      <c r="B417" s="8">
        <v>45814</v>
      </c>
      <c r="C417" s="7" t="s">
        <v>46</v>
      </c>
      <c r="D417" s="7" t="s">
        <v>40</v>
      </c>
      <c r="E417" s="7" t="s">
        <v>91</v>
      </c>
      <c r="F417" s="7" t="s">
        <v>48</v>
      </c>
      <c r="G417" s="7" t="s">
        <v>55</v>
      </c>
      <c r="H417" s="7" t="s">
        <v>74</v>
      </c>
      <c r="I417" s="7">
        <v>2</v>
      </c>
      <c r="J417" s="9">
        <v>128.02000000000001</v>
      </c>
      <c r="K417" s="10">
        <v>3.3399999999999999E-2</v>
      </c>
      <c r="L417" s="9">
        <f t="shared" si="12"/>
        <v>247.48826400000002</v>
      </c>
      <c r="M417" s="9">
        <f>ROUND(L417*0.6109,2)</f>
        <v>151.19</v>
      </c>
      <c r="N417" s="9">
        <f t="shared" si="13"/>
        <v>96.298264000000017</v>
      </c>
    </row>
    <row r="418" spans="1:14" x14ac:dyDescent="0.35">
      <c r="A418" s="7" t="s">
        <v>501</v>
      </c>
      <c r="B418" s="8">
        <v>45814</v>
      </c>
      <c r="C418" s="7" t="s">
        <v>46</v>
      </c>
      <c r="D418" s="7" t="s">
        <v>53</v>
      </c>
      <c r="E418" s="7" t="s">
        <v>87</v>
      </c>
      <c r="F418" s="7" t="s">
        <v>48</v>
      </c>
      <c r="G418" s="7" t="s">
        <v>49</v>
      </c>
      <c r="H418" s="7" t="s">
        <v>95</v>
      </c>
      <c r="I418" s="7">
        <v>1</v>
      </c>
      <c r="J418" s="9">
        <v>857.94</v>
      </c>
      <c r="K418" s="10">
        <v>3.0800000000000001E-2</v>
      </c>
      <c r="L418" s="9">
        <f t="shared" si="12"/>
        <v>831.51544799999999</v>
      </c>
      <c r="M418" s="9">
        <f>ROUND(L418*0.7379,2)</f>
        <v>613.58000000000004</v>
      </c>
      <c r="N418" s="9">
        <f t="shared" si="13"/>
        <v>217.93544799999995</v>
      </c>
    </row>
    <row r="419" spans="1:14" x14ac:dyDescent="0.35">
      <c r="A419" s="7" t="s">
        <v>502</v>
      </c>
      <c r="B419" s="8">
        <v>45814</v>
      </c>
      <c r="C419" s="7" t="s">
        <v>39</v>
      </c>
      <c r="D419" s="7" t="s">
        <v>69</v>
      </c>
      <c r="E419" s="7" t="s">
        <v>132</v>
      </c>
      <c r="F419" s="7" t="s">
        <v>59</v>
      </c>
      <c r="G419" s="7" t="s">
        <v>49</v>
      </c>
      <c r="H419" s="7" t="s">
        <v>44</v>
      </c>
      <c r="I419" s="7">
        <v>8</v>
      </c>
      <c r="J419" s="9">
        <v>74.92</v>
      </c>
      <c r="K419" s="10">
        <v>0.1012</v>
      </c>
      <c r="L419" s="9">
        <f t="shared" si="12"/>
        <v>538.70476800000006</v>
      </c>
      <c r="M419" s="9">
        <f>ROUND(L419*0.2299,2)</f>
        <v>123.85</v>
      </c>
      <c r="N419" s="9">
        <f t="shared" si="13"/>
        <v>414.85476800000004</v>
      </c>
    </row>
    <row r="420" spans="1:14" x14ac:dyDescent="0.35">
      <c r="A420" s="7" t="s">
        <v>503</v>
      </c>
      <c r="B420" s="8">
        <v>45814</v>
      </c>
      <c r="C420" s="7" t="s">
        <v>46</v>
      </c>
      <c r="D420" s="7" t="s">
        <v>53</v>
      </c>
      <c r="E420" s="7" t="s">
        <v>105</v>
      </c>
      <c r="F420" s="7" t="s">
        <v>59</v>
      </c>
      <c r="G420" s="7" t="s">
        <v>49</v>
      </c>
      <c r="H420" s="7" t="s">
        <v>50</v>
      </c>
      <c r="I420" s="7">
        <v>5</v>
      </c>
      <c r="J420" s="9">
        <v>422.8</v>
      </c>
      <c r="K420" s="10">
        <v>0.13250000000000001</v>
      </c>
      <c r="L420" s="9">
        <f t="shared" si="12"/>
        <v>1833.895</v>
      </c>
      <c r="M420" s="9">
        <f>ROUND(L420*0.7334,2)</f>
        <v>1344.98</v>
      </c>
      <c r="N420" s="9">
        <f t="shared" si="13"/>
        <v>488.91499999999996</v>
      </c>
    </row>
    <row r="421" spans="1:14" x14ac:dyDescent="0.35">
      <c r="A421" s="7" t="s">
        <v>504</v>
      </c>
      <c r="B421" s="8">
        <v>45814</v>
      </c>
      <c r="C421" s="7" t="s">
        <v>39</v>
      </c>
      <c r="D421" s="7" t="s">
        <v>40</v>
      </c>
      <c r="E421" s="7" t="s">
        <v>91</v>
      </c>
      <c r="F421" s="7" t="s">
        <v>59</v>
      </c>
      <c r="G421" s="7" t="s">
        <v>55</v>
      </c>
      <c r="H421" s="7" t="s">
        <v>108</v>
      </c>
      <c r="I421" s="7">
        <v>3</v>
      </c>
      <c r="J421" s="9">
        <v>132.63</v>
      </c>
      <c r="K421" s="10">
        <v>8.9300000000000004E-2</v>
      </c>
      <c r="L421" s="9">
        <f t="shared" si="12"/>
        <v>362.35842299999996</v>
      </c>
      <c r="M421" s="9">
        <f>ROUND(L421*0.6697,2)</f>
        <v>242.67</v>
      </c>
      <c r="N421" s="9">
        <f t="shared" si="13"/>
        <v>119.68842299999997</v>
      </c>
    </row>
    <row r="422" spans="1:14" x14ac:dyDescent="0.35">
      <c r="A422" s="7" t="s">
        <v>505</v>
      </c>
      <c r="B422" s="8">
        <v>45815</v>
      </c>
      <c r="C422" s="7" t="s">
        <v>52</v>
      </c>
      <c r="D422" s="7" t="s">
        <v>53</v>
      </c>
      <c r="E422" s="7" t="s">
        <v>105</v>
      </c>
      <c r="F422" s="7" t="s">
        <v>48</v>
      </c>
      <c r="G422" s="7" t="s">
        <v>49</v>
      </c>
      <c r="H422" s="7" t="s">
        <v>83</v>
      </c>
      <c r="I422" s="7">
        <v>1</v>
      </c>
      <c r="J422" s="9">
        <v>425.17</v>
      </c>
      <c r="K422" s="10">
        <v>3.5200000000000002E-2</v>
      </c>
      <c r="L422" s="9">
        <f t="shared" si="12"/>
        <v>410.20401600000002</v>
      </c>
      <c r="M422" s="9">
        <f>ROUND(L422*0.7171,2)</f>
        <v>294.16000000000003</v>
      </c>
      <c r="N422" s="9">
        <f t="shared" si="13"/>
        <v>116.044016</v>
      </c>
    </row>
    <row r="423" spans="1:14" x14ac:dyDescent="0.35">
      <c r="A423" s="7" t="s">
        <v>506</v>
      </c>
      <c r="B423" s="8">
        <v>45815</v>
      </c>
      <c r="C423" s="7" t="s">
        <v>39</v>
      </c>
      <c r="D423" s="7" t="s">
        <v>53</v>
      </c>
      <c r="E423" s="7" t="s">
        <v>58</v>
      </c>
      <c r="F423" s="7" t="s">
        <v>48</v>
      </c>
      <c r="G423" s="7" t="s">
        <v>55</v>
      </c>
      <c r="H423" s="7" t="s">
        <v>108</v>
      </c>
      <c r="I423" s="7">
        <v>3</v>
      </c>
      <c r="J423" s="9">
        <v>700.86</v>
      </c>
      <c r="K423" s="10">
        <v>2.47E-2</v>
      </c>
      <c r="L423" s="9">
        <f t="shared" si="12"/>
        <v>2050.6462740000002</v>
      </c>
      <c r="M423" s="9">
        <f>ROUND(L423*0.6926,2)</f>
        <v>1420.28</v>
      </c>
      <c r="N423" s="9">
        <f t="shared" si="13"/>
        <v>630.3662740000002</v>
      </c>
    </row>
    <row r="424" spans="1:14" x14ac:dyDescent="0.35">
      <c r="A424" s="7" t="s">
        <v>507</v>
      </c>
      <c r="B424" s="8">
        <v>45816</v>
      </c>
      <c r="C424" s="7" t="s">
        <v>52</v>
      </c>
      <c r="D424" s="7" t="s">
        <v>66</v>
      </c>
      <c r="E424" s="7" t="s">
        <v>67</v>
      </c>
      <c r="F424" s="7" t="s">
        <v>42</v>
      </c>
      <c r="G424" s="7" t="s">
        <v>55</v>
      </c>
      <c r="H424" s="7" t="s">
        <v>56</v>
      </c>
      <c r="I424" s="7">
        <v>16</v>
      </c>
      <c r="J424" s="9">
        <v>86.42</v>
      </c>
      <c r="K424" s="10">
        <v>8.2100000000000006E-2</v>
      </c>
      <c r="L424" s="9">
        <f t="shared" si="12"/>
        <v>1269.1986879999999</v>
      </c>
      <c r="M424" s="9">
        <f>ROUND(L424*0.6032,2)</f>
        <v>765.58</v>
      </c>
      <c r="N424" s="9">
        <f t="shared" si="13"/>
        <v>503.61868799999991</v>
      </c>
    </row>
    <row r="425" spans="1:14" x14ac:dyDescent="0.35">
      <c r="A425" s="7" t="s">
        <v>508</v>
      </c>
      <c r="B425" s="8">
        <v>45816</v>
      </c>
      <c r="C425" s="7" t="s">
        <v>46</v>
      </c>
      <c r="D425" s="7" t="s">
        <v>66</v>
      </c>
      <c r="E425" s="7" t="s">
        <v>98</v>
      </c>
      <c r="F425" s="7" t="s">
        <v>42</v>
      </c>
      <c r="G425" s="7" t="s">
        <v>43</v>
      </c>
      <c r="H425" s="7" t="s">
        <v>50</v>
      </c>
      <c r="I425" s="7">
        <v>23</v>
      </c>
      <c r="J425" s="9">
        <v>28.38</v>
      </c>
      <c r="K425" s="10">
        <v>0.13900000000000001</v>
      </c>
      <c r="L425" s="9">
        <f t="shared" si="12"/>
        <v>562.00914</v>
      </c>
      <c r="M425" s="9">
        <f>ROUND(L425*0.5885,2)</f>
        <v>330.74</v>
      </c>
      <c r="N425" s="9">
        <f t="shared" si="13"/>
        <v>231.26913999999999</v>
      </c>
    </row>
    <row r="426" spans="1:14" x14ac:dyDescent="0.35">
      <c r="A426" s="7" t="s">
        <v>509</v>
      </c>
      <c r="B426" s="8">
        <v>45816</v>
      </c>
      <c r="C426" s="7" t="s">
        <v>52</v>
      </c>
      <c r="D426" s="7" t="s">
        <v>40</v>
      </c>
      <c r="E426" s="7" t="s">
        <v>139</v>
      </c>
      <c r="F426" s="7" t="s">
        <v>42</v>
      </c>
      <c r="G426" s="7" t="s">
        <v>43</v>
      </c>
      <c r="H426" s="7" t="s">
        <v>64</v>
      </c>
      <c r="I426" s="7">
        <v>40</v>
      </c>
      <c r="J426" s="9">
        <v>322.69</v>
      </c>
      <c r="K426" s="10">
        <v>0.185</v>
      </c>
      <c r="L426" s="9">
        <f t="shared" si="12"/>
        <v>10519.694</v>
      </c>
      <c r="M426" s="9">
        <f>ROUND(L426*0.6401,2)</f>
        <v>6733.66</v>
      </c>
      <c r="N426" s="9">
        <f t="shared" si="13"/>
        <v>3786.0339999999997</v>
      </c>
    </row>
    <row r="427" spans="1:14" x14ac:dyDescent="0.35">
      <c r="A427" s="7" t="s">
        <v>510</v>
      </c>
      <c r="B427" s="8">
        <v>45816</v>
      </c>
      <c r="C427" s="7" t="s">
        <v>76</v>
      </c>
      <c r="D427" s="7" t="s">
        <v>66</v>
      </c>
      <c r="E427" s="7" t="s">
        <v>98</v>
      </c>
      <c r="F427" s="7" t="s">
        <v>48</v>
      </c>
      <c r="G427" s="7" t="s">
        <v>55</v>
      </c>
      <c r="H427" s="7" t="s">
        <v>78</v>
      </c>
      <c r="I427" s="7">
        <v>2</v>
      </c>
      <c r="J427" s="9">
        <v>29.11</v>
      </c>
      <c r="K427" s="10">
        <v>2.5499999999999998E-2</v>
      </c>
      <c r="L427" s="9">
        <f t="shared" si="12"/>
        <v>56.735390000000002</v>
      </c>
      <c r="M427" s="9">
        <f>ROUND(L427*0.5564,2)</f>
        <v>31.57</v>
      </c>
      <c r="N427" s="9">
        <f t="shared" si="13"/>
        <v>25.165390000000002</v>
      </c>
    </row>
    <row r="428" spans="1:14" x14ac:dyDescent="0.35">
      <c r="A428" s="7" t="s">
        <v>511</v>
      </c>
      <c r="B428" s="8">
        <v>45816</v>
      </c>
      <c r="C428" s="7" t="s">
        <v>39</v>
      </c>
      <c r="D428" s="7" t="s">
        <v>69</v>
      </c>
      <c r="E428" s="7" t="s">
        <v>132</v>
      </c>
      <c r="F428" s="7" t="s">
        <v>48</v>
      </c>
      <c r="G428" s="7" t="s">
        <v>55</v>
      </c>
      <c r="H428" s="7" t="s">
        <v>108</v>
      </c>
      <c r="I428" s="7">
        <v>3</v>
      </c>
      <c r="J428" s="9">
        <v>81.58</v>
      </c>
      <c r="K428" s="10">
        <v>5.5199999999999999E-2</v>
      </c>
      <c r="L428" s="9">
        <f t="shared" si="12"/>
        <v>231.23035200000001</v>
      </c>
      <c r="M428" s="9">
        <f>ROUND(L428*0.2382,2)</f>
        <v>55.08</v>
      </c>
      <c r="N428" s="9">
        <f t="shared" si="13"/>
        <v>176.150352</v>
      </c>
    </row>
    <row r="429" spans="1:14" x14ac:dyDescent="0.35">
      <c r="A429" s="7" t="s">
        <v>512</v>
      </c>
      <c r="B429" s="8">
        <v>45817</v>
      </c>
      <c r="C429" s="7" t="s">
        <v>52</v>
      </c>
      <c r="D429" s="7" t="s">
        <v>40</v>
      </c>
      <c r="E429" s="7" t="s">
        <v>139</v>
      </c>
      <c r="F429" s="7" t="s">
        <v>48</v>
      </c>
      <c r="G429" s="7" t="s">
        <v>55</v>
      </c>
      <c r="H429" s="7" t="s">
        <v>56</v>
      </c>
      <c r="I429" s="7">
        <v>3</v>
      </c>
      <c r="J429" s="9">
        <v>321.89</v>
      </c>
      <c r="K429" s="10">
        <v>7.0699999999999999E-2</v>
      </c>
      <c r="L429" s="9">
        <f t="shared" si="12"/>
        <v>897.39713099999994</v>
      </c>
      <c r="M429" s="9">
        <f>ROUND(L429*0.6673,2)</f>
        <v>598.83000000000004</v>
      </c>
      <c r="N429" s="9">
        <f t="shared" si="13"/>
        <v>298.5671309999999</v>
      </c>
    </row>
    <row r="430" spans="1:14" x14ac:dyDescent="0.35">
      <c r="A430" s="7" t="s">
        <v>513</v>
      </c>
      <c r="B430" s="8">
        <v>45817</v>
      </c>
      <c r="C430" s="7" t="s">
        <v>52</v>
      </c>
      <c r="D430" s="7" t="s">
        <v>69</v>
      </c>
      <c r="E430" s="7" t="s">
        <v>113</v>
      </c>
      <c r="F430" s="7" t="s">
        <v>48</v>
      </c>
      <c r="G430" s="7" t="s">
        <v>49</v>
      </c>
      <c r="H430" s="7" t="s">
        <v>83</v>
      </c>
      <c r="I430" s="7">
        <v>3</v>
      </c>
      <c r="J430" s="9">
        <v>240.48</v>
      </c>
      <c r="K430" s="10">
        <v>2.8799999999999999E-2</v>
      </c>
      <c r="L430" s="9">
        <f t="shared" si="12"/>
        <v>700.66252799999995</v>
      </c>
      <c r="M430" s="9">
        <f>ROUND(L430*0.2639,2)</f>
        <v>184.9</v>
      </c>
      <c r="N430" s="9">
        <f t="shared" si="13"/>
        <v>515.76252799999997</v>
      </c>
    </row>
    <row r="431" spans="1:14" x14ac:dyDescent="0.35">
      <c r="A431" s="7" t="s">
        <v>514</v>
      </c>
      <c r="B431" s="8">
        <v>45817</v>
      </c>
      <c r="C431" s="7" t="s">
        <v>46</v>
      </c>
      <c r="D431" s="7" t="s">
        <v>69</v>
      </c>
      <c r="E431" s="7" t="s">
        <v>113</v>
      </c>
      <c r="F431" s="7" t="s">
        <v>42</v>
      </c>
      <c r="G431" s="7" t="s">
        <v>55</v>
      </c>
      <c r="H431" s="7" t="s">
        <v>74</v>
      </c>
      <c r="I431" s="7">
        <v>8</v>
      </c>
      <c r="J431" s="9">
        <v>244.24</v>
      </c>
      <c r="K431" s="10">
        <v>9.7900000000000001E-2</v>
      </c>
      <c r="L431" s="9">
        <f t="shared" si="12"/>
        <v>1762.6312320000002</v>
      </c>
      <c r="M431" s="9">
        <f>ROUND(L431*0.2164,2)</f>
        <v>381.43</v>
      </c>
      <c r="N431" s="9">
        <f t="shared" si="13"/>
        <v>1381.2012320000001</v>
      </c>
    </row>
    <row r="432" spans="1:14" x14ac:dyDescent="0.35">
      <c r="A432" s="7" t="s">
        <v>515</v>
      </c>
      <c r="B432" s="8">
        <v>45817</v>
      </c>
      <c r="C432" s="7" t="s">
        <v>46</v>
      </c>
      <c r="D432" s="7" t="s">
        <v>66</v>
      </c>
      <c r="E432" s="7" t="s">
        <v>77</v>
      </c>
      <c r="F432" s="7" t="s">
        <v>42</v>
      </c>
      <c r="G432" s="7" t="s">
        <v>43</v>
      </c>
      <c r="H432" s="7" t="s">
        <v>95</v>
      </c>
      <c r="I432" s="7">
        <v>18</v>
      </c>
      <c r="J432" s="9">
        <v>94.02</v>
      </c>
      <c r="K432" s="10">
        <v>0.2122</v>
      </c>
      <c r="L432" s="9">
        <f t="shared" si="12"/>
        <v>1333.2412079999999</v>
      </c>
      <c r="M432" s="9">
        <f>ROUND(L432*0.5535,2)</f>
        <v>737.95</v>
      </c>
      <c r="N432" s="9">
        <f t="shared" si="13"/>
        <v>595.29120799999987</v>
      </c>
    </row>
    <row r="433" spans="1:14" x14ac:dyDescent="0.35">
      <c r="A433" s="7" t="s">
        <v>516</v>
      </c>
      <c r="B433" s="8">
        <v>45818</v>
      </c>
      <c r="C433" s="7" t="s">
        <v>76</v>
      </c>
      <c r="D433" s="7" t="s">
        <v>66</v>
      </c>
      <c r="E433" s="7" t="s">
        <v>137</v>
      </c>
      <c r="F433" s="7" t="s">
        <v>48</v>
      </c>
      <c r="G433" s="7" t="s">
        <v>49</v>
      </c>
      <c r="H433" s="7" t="s">
        <v>151</v>
      </c>
      <c r="I433" s="7">
        <v>1</v>
      </c>
      <c r="J433" s="9">
        <v>148.12</v>
      </c>
      <c r="K433" s="10">
        <v>4.07E-2</v>
      </c>
      <c r="L433" s="9">
        <f t="shared" si="12"/>
        <v>142.09151600000001</v>
      </c>
      <c r="M433" s="9">
        <f>ROUND(L433*0.5633,2)</f>
        <v>80.040000000000006</v>
      </c>
      <c r="N433" s="9">
        <f t="shared" si="13"/>
        <v>62.051516000000007</v>
      </c>
    </row>
    <row r="434" spans="1:14" x14ac:dyDescent="0.35">
      <c r="A434" s="7" t="s">
        <v>517</v>
      </c>
      <c r="B434" s="8">
        <v>45818</v>
      </c>
      <c r="C434" s="7" t="s">
        <v>52</v>
      </c>
      <c r="D434" s="7" t="s">
        <v>66</v>
      </c>
      <c r="E434" s="7" t="s">
        <v>137</v>
      </c>
      <c r="F434" s="7" t="s">
        <v>48</v>
      </c>
      <c r="G434" s="7" t="s">
        <v>55</v>
      </c>
      <c r="H434" s="7" t="s">
        <v>56</v>
      </c>
      <c r="I434" s="7">
        <v>1</v>
      </c>
      <c r="J434" s="9">
        <v>163.47999999999999</v>
      </c>
      <c r="K434" s="10">
        <v>7.3899999999999993E-2</v>
      </c>
      <c r="L434" s="9">
        <f t="shared" si="12"/>
        <v>151.39882800000001</v>
      </c>
      <c r="M434" s="9">
        <f>ROUND(L434*0.5906,2)</f>
        <v>89.42</v>
      </c>
      <c r="N434" s="9">
        <f t="shared" si="13"/>
        <v>61.978828000000007</v>
      </c>
    </row>
    <row r="435" spans="1:14" x14ac:dyDescent="0.35">
      <c r="A435" s="7" t="s">
        <v>518</v>
      </c>
      <c r="B435" s="8">
        <v>45820</v>
      </c>
      <c r="C435" s="7" t="s">
        <v>76</v>
      </c>
      <c r="D435" s="7" t="s">
        <v>40</v>
      </c>
      <c r="E435" s="7" t="s">
        <v>91</v>
      </c>
      <c r="F435" s="7" t="s">
        <v>42</v>
      </c>
      <c r="G435" s="7" t="s">
        <v>55</v>
      </c>
      <c r="H435" s="7" t="s">
        <v>78</v>
      </c>
      <c r="I435" s="7">
        <v>8</v>
      </c>
      <c r="J435" s="9">
        <v>125.02</v>
      </c>
      <c r="K435" s="10">
        <v>7.6399999999999996E-2</v>
      </c>
      <c r="L435" s="9">
        <f t="shared" si="12"/>
        <v>923.74777599999993</v>
      </c>
      <c r="M435" s="9">
        <f>ROUND(L435*0.6244,2)</f>
        <v>576.79</v>
      </c>
      <c r="N435" s="9">
        <f t="shared" si="13"/>
        <v>346.95777599999997</v>
      </c>
    </row>
    <row r="436" spans="1:14" x14ac:dyDescent="0.35">
      <c r="A436" s="7" t="s">
        <v>519</v>
      </c>
      <c r="B436" s="8">
        <v>45820</v>
      </c>
      <c r="C436" s="7" t="s">
        <v>52</v>
      </c>
      <c r="D436" s="7" t="s">
        <v>53</v>
      </c>
      <c r="E436" s="7" t="s">
        <v>87</v>
      </c>
      <c r="F436" s="7" t="s">
        <v>42</v>
      </c>
      <c r="G436" s="7" t="s">
        <v>49</v>
      </c>
      <c r="H436" s="7" t="s">
        <v>71</v>
      </c>
      <c r="I436" s="7">
        <v>16</v>
      </c>
      <c r="J436" s="9">
        <v>870.85</v>
      </c>
      <c r="K436" s="10">
        <v>0.1482</v>
      </c>
      <c r="L436" s="9">
        <f t="shared" si="12"/>
        <v>11868.64048</v>
      </c>
      <c r="M436" s="9">
        <f>ROUND(L436*0.7333,2)</f>
        <v>8703.27</v>
      </c>
      <c r="N436" s="9">
        <f t="shared" si="13"/>
        <v>3165.3704799999996</v>
      </c>
    </row>
    <row r="437" spans="1:14" x14ac:dyDescent="0.35">
      <c r="A437" s="7" t="s">
        <v>520</v>
      </c>
      <c r="B437" s="8">
        <v>45820</v>
      </c>
      <c r="C437" s="7" t="s">
        <v>52</v>
      </c>
      <c r="D437" s="7" t="s">
        <v>69</v>
      </c>
      <c r="E437" s="7" t="s">
        <v>119</v>
      </c>
      <c r="F437" s="7" t="s">
        <v>59</v>
      </c>
      <c r="G437" s="7" t="s">
        <v>43</v>
      </c>
      <c r="H437" s="7" t="s">
        <v>64</v>
      </c>
      <c r="I437" s="7">
        <v>8</v>
      </c>
      <c r="J437" s="9">
        <v>198.3</v>
      </c>
      <c r="K437" s="10">
        <v>0.129</v>
      </c>
      <c r="L437" s="9">
        <f t="shared" si="12"/>
        <v>1381.7544</v>
      </c>
      <c r="M437" s="9">
        <f>ROUND(L437*0.2437,2)</f>
        <v>336.73</v>
      </c>
      <c r="N437" s="9">
        <f t="shared" si="13"/>
        <v>1045.0244</v>
      </c>
    </row>
    <row r="438" spans="1:14" x14ac:dyDescent="0.35">
      <c r="A438" s="7" t="s">
        <v>521</v>
      </c>
      <c r="B438" s="8">
        <v>45821</v>
      </c>
      <c r="C438" s="7" t="s">
        <v>52</v>
      </c>
      <c r="D438" s="7" t="s">
        <v>40</v>
      </c>
      <c r="E438" s="7" t="s">
        <v>91</v>
      </c>
      <c r="F438" s="7" t="s">
        <v>59</v>
      </c>
      <c r="G438" s="7" t="s">
        <v>49</v>
      </c>
      <c r="H438" s="7" t="s">
        <v>83</v>
      </c>
      <c r="I438" s="7">
        <v>10</v>
      </c>
      <c r="J438" s="9">
        <v>129.1</v>
      </c>
      <c r="K438" s="10">
        <v>6.2199999999999998E-2</v>
      </c>
      <c r="L438" s="9">
        <f t="shared" si="12"/>
        <v>1210.6997999999999</v>
      </c>
      <c r="M438" s="9">
        <f>ROUND(L438*0.6389,2)</f>
        <v>773.52</v>
      </c>
      <c r="N438" s="9">
        <f t="shared" si="13"/>
        <v>437.17979999999989</v>
      </c>
    </row>
    <row r="439" spans="1:14" x14ac:dyDescent="0.35">
      <c r="A439" s="7" t="s">
        <v>522</v>
      </c>
      <c r="B439" s="8">
        <v>45821</v>
      </c>
      <c r="C439" s="7" t="s">
        <v>46</v>
      </c>
      <c r="D439" s="7" t="s">
        <v>69</v>
      </c>
      <c r="E439" s="7" t="s">
        <v>70</v>
      </c>
      <c r="F439" s="7" t="s">
        <v>42</v>
      </c>
      <c r="G439" s="7" t="s">
        <v>49</v>
      </c>
      <c r="H439" s="7" t="s">
        <v>95</v>
      </c>
      <c r="I439" s="7">
        <v>34</v>
      </c>
      <c r="J439" s="9">
        <v>149.22</v>
      </c>
      <c r="K439" s="10">
        <v>0.11409999999999999</v>
      </c>
      <c r="L439" s="9">
        <f t="shared" si="12"/>
        <v>4494.5959319999993</v>
      </c>
      <c r="M439" s="9">
        <f>ROUND(L439*0.2185,2)</f>
        <v>982.07</v>
      </c>
      <c r="N439" s="9">
        <f t="shared" si="13"/>
        <v>3512.5259319999991</v>
      </c>
    </row>
    <row r="440" spans="1:14" x14ac:dyDescent="0.35">
      <c r="A440" s="7" t="s">
        <v>523</v>
      </c>
      <c r="B440" s="8">
        <v>45821</v>
      </c>
      <c r="C440" s="7" t="s">
        <v>76</v>
      </c>
      <c r="D440" s="7" t="s">
        <v>69</v>
      </c>
      <c r="E440" s="7" t="s">
        <v>70</v>
      </c>
      <c r="F440" s="7" t="s">
        <v>59</v>
      </c>
      <c r="G440" s="7" t="s">
        <v>55</v>
      </c>
      <c r="H440" s="7" t="s">
        <v>78</v>
      </c>
      <c r="I440" s="7">
        <v>3</v>
      </c>
      <c r="J440" s="9">
        <v>143.19</v>
      </c>
      <c r="K440" s="10">
        <v>4.65E-2</v>
      </c>
      <c r="L440" s="9">
        <f t="shared" si="12"/>
        <v>409.59499499999998</v>
      </c>
      <c r="M440" s="9">
        <f>ROUND(L440*0.2472,2)</f>
        <v>101.25</v>
      </c>
      <c r="N440" s="9">
        <f t="shared" si="13"/>
        <v>308.34499499999998</v>
      </c>
    </row>
    <row r="441" spans="1:14" x14ac:dyDescent="0.35">
      <c r="A441" s="7" t="s">
        <v>524</v>
      </c>
      <c r="B441" s="8">
        <v>45822</v>
      </c>
      <c r="C441" s="7" t="s">
        <v>52</v>
      </c>
      <c r="D441" s="7" t="s">
        <v>69</v>
      </c>
      <c r="E441" s="7" t="s">
        <v>70</v>
      </c>
      <c r="F441" s="7" t="s">
        <v>48</v>
      </c>
      <c r="G441" s="7" t="s">
        <v>49</v>
      </c>
      <c r="H441" s="7" t="s">
        <v>64</v>
      </c>
      <c r="I441" s="7">
        <v>1</v>
      </c>
      <c r="J441" s="9">
        <v>146.41999999999999</v>
      </c>
      <c r="K441" s="10">
        <v>3.8300000000000001E-2</v>
      </c>
      <c r="L441" s="9">
        <f t="shared" si="12"/>
        <v>140.81211399999998</v>
      </c>
      <c r="M441" s="9">
        <f>ROUND(L441*0.2315,2)</f>
        <v>32.6</v>
      </c>
      <c r="N441" s="9">
        <f t="shared" si="13"/>
        <v>108.21211399999999</v>
      </c>
    </row>
    <row r="442" spans="1:14" x14ac:dyDescent="0.35">
      <c r="A442" s="7" t="s">
        <v>525</v>
      </c>
      <c r="B442" s="8">
        <v>45823</v>
      </c>
      <c r="C442" s="7" t="s">
        <v>52</v>
      </c>
      <c r="D442" s="7" t="s">
        <v>66</v>
      </c>
      <c r="E442" s="7" t="s">
        <v>67</v>
      </c>
      <c r="F442" s="7" t="s">
        <v>59</v>
      </c>
      <c r="G442" s="7" t="s">
        <v>43</v>
      </c>
      <c r="H442" s="7" t="s">
        <v>83</v>
      </c>
      <c r="I442" s="7">
        <v>8</v>
      </c>
      <c r="J442" s="9">
        <v>85.01</v>
      </c>
      <c r="K442" s="10">
        <v>0.10539999999999999</v>
      </c>
      <c r="L442" s="9">
        <f t="shared" si="12"/>
        <v>608.39956800000004</v>
      </c>
      <c r="M442" s="9">
        <f>ROUND(L442*0.6077,2)</f>
        <v>369.72</v>
      </c>
      <c r="N442" s="9">
        <f t="shared" si="13"/>
        <v>238.67956800000002</v>
      </c>
    </row>
    <row r="443" spans="1:14" x14ac:dyDescent="0.35">
      <c r="A443" s="7" t="s">
        <v>526</v>
      </c>
      <c r="B443" s="8">
        <v>45823</v>
      </c>
      <c r="C443" s="7" t="s">
        <v>76</v>
      </c>
      <c r="D443" s="7" t="s">
        <v>40</v>
      </c>
      <c r="E443" s="7" t="s">
        <v>139</v>
      </c>
      <c r="F443" s="7" t="s">
        <v>59</v>
      </c>
      <c r="G443" s="7" t="s">
        <v>55</v>
      </c>
      <c r="H443" s="7" t="s">
        <v>78</v>
      </c>
      <c r="I443" s="7">
        <v>8</v>
      </c>
      <c r="J443" s="9">
        <v>334.68</v>
      </c>
      <c r="K443" s="10">
        <v>6.7500000000000004E-2</v>
      </c>
      <c r="L443" s="9">
        <f t="shared" si="12"/>
        <v>2496.7128000000002</v>
      </c>
      <c r="M443" s="9">
        <f>ROUND(L443*0.6556,2)</f>
        <v>1636.84</v>
      </c>
      <c r="N443" s="9">
        <f t="shared" si="13"/>
        <v>859.87280000000032</v>
      </c>
    </row>
    <row r="444" spans="1:14" x14ac:dyDescent="0.35">
      <c r="A444" s="7" t="s">
        <v>527</v>
      </c>
      <c r="B444" s="8">
        <v>45823</v>
      </c>
      <c r="C444" s="7" t="s">
        <v>46</v>
      </c>
      <c r="D444" s="7" t="s">
        <v>66</v>
      </c>
      <c r="E444" s="7" t="s">
        <v>73</v>
      </c>
      <c r="F444" s="7" t="s">
        <v>48</v>
      </c>
      <c r="G444" s="7" t="s">
        <v>55</v>
      </c>
      <c r="H444" s="7" t="s">
        <v>74</v>
      </c>
      <c r="I444" s="7">
        <v>3</v>
      </c>
      <c r="J444" s="9">
        <v>39.08</v>
      </c>
      <c r="K444" s="10">
        <v>5.1499999999999997E-2</v>
      </c>
      <c r="L444" s="9">
        <f t="shared" si="12"/>
        <v>111.20214</v>
      </c>
      <c r="M444" s="9">
        <f>ROUND(L444*0.5934,2)</f>
        <v>65.989999999999995</v>
      </c>
      <c r="N444" s="9">
        <f t="shared" si="13"/>
        <v>45.212140000000005</v>
      </c>
    </row>
    <row r="445" spans="1:14" x14ac:dyDescent="0.35">
      <c r="A445" s="7" t="s">
        <v>528</v>
      </c>
      <c r="B445" s="8">
        <v>45823</v>
      </c>
      <c r="C445" s="7" t="s">
        <v>76</v>
      </c>
      <c r="D445" s="7" t="s">
        <v>66</v>
      </c>
      <c r="E445" s="7" t="s">
        <v>98</v>
      </c>
      <c r="F445" s="7" t="s">
        <v>48</v>
      </c>
      <c r="G445" s="7" t="s">
        <v>49</v>
      </c>
      <c r="H445" s="7" t="s">
        <v>151</v>
      </c>
      <c r="I445" s="7">
        <v>1</v>
      </c>
      <c r="J445" s="9">
        <v>28.64</v>
      </c>
      <c r="K445" s="10">
        <v>3.4700000000000002E-2</v>
      </c>
      <c r="L445" s="9">
        <f t="shared" si="12"/>
        <v>27.646192000000003</v>
      </c>
      <c r="M445" s="9">
        <f>ROUND(L445*0.5699,2)</f>
        <v>15.76</v>
      </c>
      <c r="N445" s="9">
        <f t="shared" si="13"/>
        <v>11.886192000000003</v>
      </c>
    </row>
    <row r="446" spans="1:14" x14ac:dyDescent="0.35">
      <c r="A446" s="7" t="s">
        <v>529</v>
      </c>
      <c r="B446" s="8">
        <v>45823</v>
      </c>
      <c r="C446" s="7" t="s">
        <v>76</v>
      </c>
      <c r="D446" s="7" t="s">
        <v>66</v>
      </c>
      <c r="E446" s="7" t="s">
        <v>98</v>
      </c>
      <c r="F446" s="7" t="s">
        <v>48</v>
      </c>
      <c r="G446" s="7" t="s">
        <v>43</v>
      </c>
      <c r="H446" s="7" t="s">
        <v>110</v>
      </c>
      <c r="I446" s="7">
        <v>3</v>
      </c>
      <c r="J446" s="9">
        <v>28.72</v>
      </c>
      <c r="K446" s="10">
        <v>2.1100000000000001E-2</v>
      </c>
      <c r="L446" s="9">
        <f t="shared" si="12"/>
        <v>84.342023999999995</v>
      </c>
      <c r="M446" s="9">
        <f>ROUND(L446*0.5945,2)</f>
        <v>50.14</v>
      </c>
      <c r="N446" s="9">
        <f t="shared" si="13"/>
        <v>34.202023999999994</v>
      </c>
    </row>
    <row r="447" spans="1:14" x14ac:dyDescent="0.35">
      <c r="A447" s="7" t="s">
        <v>530</v>
      </c>
      <c r="B447" s="8">
        <v>45824</v>
      </c>
      <c r="C447" s="7" t="s">
        <v>46</v>
      </c>
      <c r="D447" s="7" t="s">
        <v>66</v>
      </c>
      <c r="E447" s="7" t="s">
        <v>98</v>
      </c>
      <c r="F447" s="7" t="s">
        <v>42</v>
      </c>
      <c r="G447" s="7" t="s">
        <v>43</v>
      </c>
      <c r="H447" s="7" t="s">
        <v>50</v>
      </c>
      <c r="I447" s="7">
        <v>8</v>
      </c>
      <c r="J447" s="9">
        <v>28.81</v>
      </c>
      <c r="K447" s="10">
        <v>0.2283</v>
      </c>
      <c r="L447" s="9">
        <f t="shared" si="12"/>
        <v>177.86141599999999</v>
      </c>
      <c r="M447" s="9">
        <f>ROUND(L447*0.6001,2)</f>
        <v>106.73</v>
      </c>
      <c r="N447" s="9">
        <f t="shared" si="13"/>
        <v>71.131415999999987</v>
      </c>
    </row>
    <row r="448" spans="1:14" x14ac:dyDescent="0.35">
      <c r="A448" s="7" t="s">
        <v>531</v>
      </c>
      <c r="B448" s="8">
        <v>45824</v>
      </c>
      <c r="C448" s="7" t="s">
        <v>46</v>
      </c>
      <c r="D448" s="7" t="s">
        <v>40</v>
      </c>
      <c r="E448" s="7" t="s">
        <v>41</v>
      </c>
      <c r="F448" s="7" t="s">
        <v>48</v>
      </c>
      <c r="G448" s="7" t="s">
        <v>49</v>
      </c>
      <c r="H448" s="7" t="s">
        <v>50</v>
      </c>
      <c r="I448" s="7">
        <v>3</v>
      </c>
      <c r="J448" s="9">
        <v>371.55</v>
      </c>
      <c r="K448" s="10">
        <v>9.2799999999999994E-2</v>
      </c>
      <c r="L448" s="9">
        <f t="shared" si="12"/>
        <v>1011.2104800000001</v>
      </c>
      <c r="M448" s="9">
        <f>ROUND(L448*0.6463,2)</f>
        <v>653.54999999999995</v>
      </c>
      <c r="N448" s="9">
        <f t="shared" si="13"/>
        <v>357.66048000000012</v>
      </c>
    </row>
    <row r="449" spans="1:14" x14ac:dyDescent="0.35">
      <c r="A449" s="7" t="s">
        <v>532</v>
      </c>
      <c r="B449" s="8">
        <v>45824</v>
      </c>
      <c r="C449" s="7" t="s">
        <v>52</v>
      </c>
      <c r="D449" s="7" t="s">
        <v>53</v>
      </c>
      <c r="E449" s="7" t="s">
        <v>105</v>
      </c>
      <c r="F449" s="7" t="s">
        <v>48</v>
      </c>
      <c r="G449" s="7" t="s">
        <v>55</v>
      </c>
      <c r="H449" s="7" t="s">
        <v>56</v>
      </c>
      <c r="I449" s="7">
        <v>3</v>
      </c>
      <c r="J449" s="9">
        <v>462.25</v>
      </c>
      <c r="K449" s="10">
        <v>1.6899999999999998E-2</v>
      </c>
      <c r="L449" s="9">
        <f t="shared" si="12"/>
        <v>1363.3139249999999</v>
      </c>
      <c r="M449" s="9">
        <f>ROUND(L449*0.7391,2)</f>
        <v>1007.63</v>
      </c>
      <c r="N449" s="9">
        <f t="shared" si="13"/>
        <v>355.68392499999993</v>
      </c>
    </row>
    <row r="450" spans="1:14" x14ac:dyDescent="0.35">
      <c r="A450" s="7" t="s">
        <v>533</v>
      </c>
      <c r="B450" s="8">
        <v>45825</v>
      </c>
      <c r="C450" s="7" t="s">
        <v>52</v>
      </c>
      <c r="D450" s="7" t="s">
        <v>40</v>
      </c>
      <c r="E450" s="7" t="s">
        <v>41</v>
      </c>
      <c r="F450" s="7" t="s">
        <v>59</v>
      </c>
      <c r="G450" s="7" t="s">
        <v>55</v>
      </c>
      <c r="H450" s="7" t="s">
        <v>56</v>
      </c>
      <c r="I450" s="7">
        <v>6</v>
      </c>
      <c r="J450" s="9">
        <v>389.45</v>
      </c>
      <c r="K450" s="10">
        <v>6.7000000000000004E-2</v>
      </c>
      <c r="L450" s="9">
        <f t="shared" ref="L450:L513" si="14">I450*J450*(1-K450)</f>
        <v>2180.1410999999998</v>
      </c>
      <c r="M450" s="9">
        <f>ROUND(L450*0.6274,2)</f>
        <v>1367.82</v>
      </c>
      <c r="N450" s="9">
        <f t="shared" ref="N450:N513" si="15">L450-M450</f>
        <v>812.32109999999989</v>
      </c>
    </row>
    <row r="451" spans="1:14" x14ac:dyDescent="0.35">
      <c r="A451" s="7" t="s">
        <v>534</v>
      </c>
      <c r="B451" s="8">
        <v>45825</v>
      </c>
      <c r="C451" s="7" t="s">
        <v>46</v>
      </c>
      <c r="D451" s="7" t="s">
        <v>40</v>
      </c>
      <c r="E451" s="7" t="s">
        <v>62</v>
      </c>
      <c r="F451" s="7" t="s">
        <v>59</v>
      </c>
      <c r="G451" s="7" t="s">
        <v>49</v>
      </c>
      <c r="H451" s="7" t="s">
        <v>95</v>
      </c>
      <c r="I451" s="7">
        <v>5</v>
      </c>
      <c r="J451" s="9">
        <v>195.99</v>
      </c>
      <c r="K451" s="10">
        <v>6.93E-2</v>
      </c>
      <c r="L451" s="9">
        <f t="shared" si="14"/>
        <v>912.03946500000006</v>
      </c>
      <c r="M451" s="9">
        <f>ROUND(L451*0.6589,2)</f>
        <v>600.94000000000005</v>
      </c>
      <c r="N451" s="9">
        <f t="shared" si="15"/>
        <v>311.09946500000001</v>
      </c>
    </row>
    <row r="452" spans="1:14" x14ac:dyDescent="0.35">
      <c r="A452" s="7" t="s">
        <v>535</v>
      </c>
      <c r="B452" s="8">
        <v>45825</v>
      </c>
      <c r="C452" s="7" t="s">
        <v>46</v>
      </c>
      <c r="D452" s="7" t="s">
        <v>53</v>
      </c>
      <c r="E452" s="7" t="s">
        <v>54</v>
      </c>
      <c r="F452" s="7" t="s">
        <v>59</v>
      </c>
      <c r="G452" s="7" t="s">
        <v>49</v>
      </c>
      <c r="H452" s="7" t="s">
        <v>95</v>
      </c>
      <c r="I452" s="7">
        <v>9</v>
      </c>
      <c r="J452" s="9">
        <v>1277.54</v>
      </c>
      <c r="K452" s="10">
        <v>0.1046</v>
      </c>
      <c r="L452" s="9">
        <f t="shared" si="14"/>
        <v>10295.183844000001</v>
      </c>
      <c r="M452" s="9">
        <f>ROUND(L452*0.6846,2)</f>
        <v>7048.08</v>
      </c>
      <c r="N452" s="9">
        <f t="shared" si="15"/>
        <v>3247.1038440000011</v>
      </c>
    </row>
    <row r="453" spans="1:14" x14ac:dyDescent="0.35">
      <c r="A453" s="7" t="s">
        <v>536</v>
      </c>
      <c r="B453" s="8">
        <v>45825</v>
      </c>
      <c r="C453" s="7" t="s">
        <v>52</v>
      </c>
      <c r="D453" s="7" t="s">
        <v>53</v>
      </c>
      <c r="E453" s="7" t="s">
        <v>54</v>
      </c>
      <c r="F453" s="7" t="s">
        <v>59</v>
      </c>
      <c r="G453" s="7" t="s">
        <v>55</v>
      </c>
      <c r="H453" s="7" t="s">
        <v>56</v>
      </c>
      <c r="I453" s="7">
        <v>4</v>
      </c>
      <c r="J453" s="9">
        <v>1319.6</v>
      </c>
      <c r="K453" s="10">
        <v>3.9800000000000002E-2</v>
      </c>
      <c r="L453" s="9">
        <f t="shared" si="14"/>
        <v>5068.3196799999996</v>
      </c>
      <c r="M453" s="9">
        <f>ROUND(L453*0.7214,2)</f>
        <v>3656.29</v>
      </c>
      <c r="N453" s="9">
        <f t="shared" si="15"/>
        <v>1412.0296799999996</v>
      </c>
    </row>
    <row r="454" spans="1:14" x14ac:dyDescent="0.35">
      <c r="A454" s="7" t="s">
        <v>537</v>
      </c>
      <c r="B454" s="8">
        <v>45826</v>
      </c>
      <c r="C454" s="7" t="s">
        <v>46</v>
      </c>
      <c r="D454" s="7" t="s">
        <v>69</v>
      </c>
      <c r="E454" s="7" t="s">
        <v>70</v>
      </c>
      <c r="F454" s="7" t="s">
        <v>42</v>
      </c>
      <c r="G454" s="7" t="s">
        <v>43</v>
      </c>
      <c r="H454" s="7" t="s">
        <v>95</v>
      </c>
      <c r="I454" s="7">
        <v>27</v>
      </c>
      <c r="J454" s="9">
        <v>146.93</v>
      </c>
      <c r="K454" s="10">
        <v>0.2117</v>
      </c>
      <c r="L454" s="9">
        <f t="shared" si="14"/>
        <v>3127.272813</v>
      </c>
      <c r="M454" s="9">
        <f>ROUND(L454*0.2339,2)</f>
        <v>731.47</v>
      </c>
      <c r="N454" s="9">
        <f t="shared" si="15"/>
        <v>2395.8028130000002</v>
      </c>
    </row>
    <row r="455" spans="1:14" x14ac:dyDescent="0.35">
      <c r="A455" s="7" t="s">
        <v>538</v>
      </c>
      <c r="B455" s="8">
        <v>45826</v>
      </c>
      <c r="C455" s="7" t="s">
        <v>39</v>
      </c>
      <c r="D455" s="7" t="s">
        <v>53</v>
      </c>
      <c r="E455" s="7" t="s">
        <v>54</v>
      </c>
      <c r="F455" s="7" t="s">
        <v>48</v>
      </c>
      <c r="G455" s="7" t="s">
        <v>55</v>
      </c>
      <c r="H455" s="7" t="s">
        <v>108</v>
      </c>
      <c r="I455" s="7">
        <v>1</v>
      </c>
      <c r="J455" s="9">
        <v>1339.66</v>
      </c>
      <c r="K455" s="10">
        <v>3.5400000000000001E-2</v>
      </c>
      <c r="L455" s="9">
        <f t="shared" si="14"/>
        <v>1292.236036</v>
      </c>
      <c r="M455" s="9">
        <f>ROUND(L455*0.724,2)</f>
        <v>935.58</v>
      </c>
      <c r="N455" s="9">
        <f t="shared" si="15"/>
        <v>356.65603599999997</v>
      </c>
    </row>
    <row r="456" spans="1:14" x14ac:dyDescent="0.35">
      <c r="A456" s="7" t="s">
        <v>539</v>
      </c>
      <c r="B456" s="8">
        <v>45826</v>
      </c>
      <c r="C456" s="7" t="s">
        <v>39</v>
      </c>
      <c r="D456" s="7" t="s">
        <v>53</v>
      </c>
      <c r="E456" s="7" t="s">
        <v>81</v>
      </c>
      <c r="F456" s="7" t="s">
        <v>59</v>
      </c>
      <c r="G456" s="7" t="s">
        <v>55</v>
      </c>
      <c r="H456" s="7" t="s">
        <v>108</v>
      </c>
      <c r="I456" s="7">
        <v>3</v>
      </c>
      <c r="J456" s="9">
        <v>1116.6600000000001</v>
      </c>
      <c r="K456" s="10">
        <v>8.2799999999999999E-2</v>
      </c>
      <c r="L456" s="9">
        <f t="shared" si="14"/>
        <v>3072.6016560000003</v>
      </c>
      <c r="M456" s="9">
        <f>ROUND(L456*0.7357,2)</f>
        <v>2260.5100000000002</v>
      </c>
      <c r="N456" s="9">
        <f t="shared" si="15"/>
        <v>812.09165600000006</v>
      </c>
    </row>
    <row r="457" spans="1:14" x14ac:dyDescent="0.35">
      <c r="A457" s="7" t="s">
        <v>540</v>
      </c>
      <c r="B457" s="8">
        <v>45827</v>
      </c>
      <c r="C457" s="7" t="s">
        <v>46</v>
      </c>
      <c r="D457" s="7" t="s">
        <v>53</v>
      </c>
      <c r="E457" s="7" t="s">
        <v>58</v>
      </c>
      <c r="F457" s="7" t="s">
        <v>48</v>
      </c>
      <c r="G457" s="7" t="s">
        <v>55</v>
      </c>
      <c r="H457" s="7" t="s">
        <v>74</v>
      </c>
      <c r="I457" s="7">
        <v>3</v>
      </c>
      <c r="J457" s="9">
        <v>697.44</v>
      </c>
      <c r="K457" s="10">
        <v>4.7699999999999999E-2</v>
      </c>
      <c r="L457" s="9">
        <f t="shared" si="14"/>
        <v>1992.5163360000001</v>
      </c>
      <c r="M457" s="9">
        <f>ROUND(L457*0.7019,2)</f>
        <v>1398.55</v>
      </c>
      <c r="N457" s="9">
        <f t="shared" si="15"/>
        <v>593.96633600000018</v>
      </c>
    </row>
    <row r="458" spans="1:14" x14ac:dyDescent="0.35">
      <c r="A458" s="7" t="s">
        <v>541</v>
      </c>
      <c r="B458" s="8">
        <v>45827</v>
      </c>
      <c r="C458" s="7" t="s">
        <v>46</v>
      </c>
      <c r="D458" s="7" t="s">
        <v>66</v>
      </c>
      <c r="E458" s="7" t="s">
        <v>98</v>
      </c>
      <c r="F458" s="7" t="s">
        <v>59</v>
      </c>
      <c r="G458" s="7" t="s">
        <v>55</v>
      </c>
      <c r="H458" s="7" t="s">
        <v>74</v>
      </c>
      <c r="I458" s="7">
        <v>7</v>
      </c>
      <c r="J458" s="9">
        <v>30.14</v>
      </c>
      <c r="K458" s="10">
        <v>6.93E-2</v>
      </c>
      <c r="L458" s="9">
        <f t="shared" si="14"/>
        <v>196.35908600000002</v>
      </c>
      <c r="M458" s="9">
        <f>ROUND(L458*0.5622,2)</f>
        <v>110.39</v>
      </c>
      <c r="N458" s="9">
        <f t="shared" si="15"/>
        <v>85.969086000000019</v>
      </c>
    </row>
    <row r="459" spans="1:14" x14ac:dyDescent="0.35">
      <c r="A459" s="7" t="s">
        <v>542</v>
      </c>
      <c r="B459" s="8">
        <v>45827</v>
      </c>
      <c r="C459" s="7" t="s">
        <v>52</v>
      </c>
      <c r="D459" s="7" t="s">
        <v>69</v>
      </c>
      <c r="E459" s="7" t="s">
        <v>70</v>
      </c>
      <c r="F459" s="7" t="s">
        <v>42</v>
      </c>
      <c r="G459" s="7" t="s">
        <v>43</v>
      </c>
      <c r="H459" s="7" t="s">
        <v>71</v>
      </c>
      <c r="I459" s="7">
        <v>38</v>
      </c>
      <c r="J459" s="9">
        <v>151.15</v>
      </c>
      <c r="K459" s="10">
        <v>0.17649999999999999</v>
      </c>
      <c r="L459" s="9">
        <f t="shared" si="14"/>
        <v>4729.9369500000003</v>
      </c>
      <c r="M459" s="9">
        <f>ROUND(L459*0.2557,2)</f>
        <v>1209.44</v>
      </c>
      <c r="N459" s="9">
        <f t="shared" si="15"/>
        <v>3520.4969500000002</v>
      </c>
    </row>
    <row r="460" spans="1:14" x14ac:dyDescent="0.35">
      <c r="A460" s="7" t="s">
        <v>543</v>
      </c>
      <c r="B460" s="8">
        <v>45827</v>
      </c>
      <c r="C460" s="7" t="s">
        <v>76</v>
      </c>
      <c r="D460" s="7" t="s">
        <v>66</v>
      </c>
      <c r="E460" s="7" t="s">
        <v>77</v>
      </c>
      <c r="F460" s="7" t="s">
        <v>48</v>
      </c>
      <c r="G460" s="7" t="s">
        <v>49</v>
      </c>
      <c r="H460" s="7" t="s">
        <v>151</v>
      </c>
      <c r="I460" s="7">
        <v>3</v>
      </c>
      <c r="J460" s="9">
        <v>99.09</v>
      </c>
      <c r="K460" s="10">
        <v>4.8300000000000003E-2</v>
      </c>
      <c r="L460" s="9">
        <f t="shared" si="14"/>
        <v>282.91185899999999</v>
      </c>
      <c r="M460" s="9">
        <f>ROUND(L460*0.5651,2)</f>
        <v>159.87</v>
      </c>
      <c r="N460" s="9">
        <f t="shared" si="15"/>
        <v>123.04185899999999</v>
      </c>
    </row>
    <row r="461" spans="1:14" x14ac:dyDescent="0.35">
      <c r="A461" s="7" t="s">
        <v>544</v>
      </c>
      <c r="B461" s="8">
        <v>45827</v>
      </c>
      <c r="C461" s="7" t="s">
        <v>46</v>
      </c>
      <c r="D461" s="7" t="s">
        <v>66</v>
      </c>
      <c r="E461" s="7" t="s">
        <v>67</v>
      </c>
      <c r="F461" s="7" t="s">
        <v>59</v>
      </c>
      <c r="G461" s="7" t="s">
        <v>49</v>
      </c>
      <c r="H461" s="7" t="s">
        <v>95</v>
      </c>
      <c r="I461" s="7">
        <v>9</v>
      </c>
      <c r="J461" s="9">
        <v>88.46</v>
      </c>
      <c r="K461" s="10">
        <v>0.13900000000000001</v>
      </c>
      <c r="L461" s="9">
        <f t="shared" si="14"/>
        <v>685.47654</v>
      </c>
      <c r="M461" s="9">
        <f>ROUND(L461*0.5515,2)</f>
        <v>378.04</v>
      </c>
      <c r="N461" s="9">
        <f t="shared" si="15"/>
        <v>307.43653999999998</v>
      </c>
    </row>
    <row r="462" spans="1:14" x14ac:dyDescent="0.35">
      <c r="A462" s="7" t="s">
        <v>545</v>
      </c>
      <c r="B462" s="8">
        <v>45828</v>
      </c>
      <c r="C462" s="7" t="s">
        <v>39</v>
      </c>
      <c r="D462" s="7" t="s">
        <v>53</v>
      </c>
      <c r="E462" s="7" t="s">
        <v>58</v>
      </c>
      <c r="F462" s="7" t="s">
        <v>48</v>
      </c>
      <c r="G462" s="7" t="s">
        <v>55</v>
      </c>
      <c r="H462" s="7" t="s">
        <v>108</v>
      </c>
      <c r="I462" s="7">
        <v>3</v>
      </c>
      <c r="J462" s="9">
        <v>673.15</v>
      </c>
      <c r="K462" s="10">
        <v>4.7999999999999996E-3</v>
      </c>
      <c r="L462" s="9">
        <f t="shared" si="14"/>
        <v>2009.7566399999998</v>
      </c>
      <c r="M462" s="9">
        <f>ROUND(L462*0.7391,2)</f>
        <v>1485.41</v>
      </c>
      <c r="N462" s="9">
        <f t="shared" si="15"/>
        <v>524.34663999999975</v>
      </c>
    </row>
    <row r="463" spans="1:14" x14ac:dyDescent="0.35">
      <c r="A463" s="7" t="s">
        <v>546</v>
      </c>
      <c r="B463" s="8">
        <v>45828</v>
      </c>
      <c r="C463" s="7" t="s">
        <v>76</v>
      </c>
      <c r="D463" s="7" t="s">
        <v>69</v>
      </c>
      <c r="E463" s="7" t="s">
        <v>70</v>
      </c>
      <c r="F463" s="7" t="s">
        <v>42</v>
      </c>
      <c r="G463" s="7" t="s">
        <v>49</v>
      </c>
      <c r="H463" s="7" t="s">
        <v>151</v>
      </c>
      <c r="I463" s="7">
        <v>29</v>
      </c>
      <c r="J463" s="9">
        <v>142.94999999999999</v>
      </c>
      <c r="K463" s="10">
        <v>0.1444</v>
      </c>
      <c r="L463" s="9">
        <f t="shared" si="14"/>
        <v>3546.9325799999997</v>
      </c>
      <c r="M463" s="9">
        <f>ROUND(L463*0.2234,2)</f>
        <v>792.38</v>
      </c>
      <c r="N463" s="9">
        <f t="shared" si="15"/>
        <v>2754.5525799999996</v>
      </c>
    </row>
    <row r="464" spans="1:14" x14ac:dyDescent="0.35">
      <c r="A464" s="7" t="s">
        <v>547</v>
      </c>
      <c r="B464" s="8">
        <v>45828</v>
      </c>
      <c r="C464" s="7" t="s">
        <v>52</v>
      </c>
      <c r="D464" s="7" t="s">
        <v>40</v>
      </c>
      <c r="E464" s="7" t="s">
        <v>91</v>
      </c>
      <c r="F464" s="7" t="s">
        <v>48</v>
      </c>
      <c r="G464" s="7" t="s">
        <v>55</v>
      </c>
      <c r="H464" s="7" t="s">
        <v>56</v>
      </c>
      <c r="I464" s="7">
        <v>3</v>
      </c>
      <c r="J464" s="9">
        <v>129.11000000000001</v>
      </c>
      <c r="K464" s="10">
        <v>4.48E-2</v>
      </c>
      <c r="L464" s="9">
        <f t="shared" si="14"/>
        <v>369.97761600000007</v>
      </c>
      <c r="M464" s="9">
        <f>ROUND(L464*0.6511,2)</f>
        <v>240.89</v>
      </c>
      <c r="N464" s="9">
        <f t="shared" si="15"/>
        <v>129.08761600000008</v>
      </c>
    </row>
    <row r="465" spans="1:14" x14ac:dyDescent="0.35">
      <c r="A465" s="7" t="s">
        <v>548</v>
      </c>
      <c r="B465" s="8">
        <v>45828</v>
      </c>
      <c r="C465" s="7" t="s">
        <v>52</v>
      </c>
      <c r="D465" s="7" t="s">
        <v>66</v>
      </c>
      <c r="E465" s="7" t="s">
        <v>77</v>
      </c>
      <c r="F465" s="7" t="s">
        <v>48</v>
      </c>
      <c r="G465" s="7" t="s">
        <v>49</v>
      </c>
      <c r="H465" s="7" t="s">
        <v>64</v>
      </c>
      <c r="I465" s="7">
        <v>1</v>
      </c>
      <c r="J465" s="9">
        <v>97.11</v>
      </c>
      <c r="K465" s="10">
        <v>5.1499999999999997E-2</v>
      </c>
      <c r="L465" s="9">
        <f t="shared" si="14"/>
        <v>92.108834999999999</v>
      </c>
      <c r="M465" s="9">
        <f>ROUND(L465*0.5621,2)</f>
        <v>51.77</v>
      </c>
      <c r="N465" s="9">
        <f t="shared" si="15"/>
        <v>40.338834999999996</v>
      </c>
    </row>
    <row r="466" spans="1:14" x14ac:dyDescent="0.35">
      <c r="A466" s="7" t="s">
        <v>549</v>
      </c>
      <c r="B466" s="8">
        <v>45828</v>
      </c>
      <c r="C466" s="7" t="s">
        <v>76</v>
      </c>
      <c r="D466" s="7" t="s">
        <v>53</v>
      </c>
      <c r="E466" s="7" t="s">
        <v>54</v>
      </c>
      <c r="F466" s="7" t="s">
        <v>48</v>
      </c>
      <c r="G466" s="7" t="s">
        <v>55</v>
      </c>
      <c r="H466" s="7" t="s">
        <v>78</v>
      </c>
      <c r="I466" s="7">
        <v>2</v>
      </c>
      <c r="J466" s="9">
        <v>1320.14</v>
      </c>
      <c r="K466" s="10">
        <v>3.9899999999999998E-2</v>
      </c>
      <c r="L466" s="9">
        <f t="shared" si="14"/>
        <v>2534.932828</v>
      </c>
      <c r="M466" s="9">
        <f>ROUND(L466*0.6824,2)</f>
        <v>1729.84</v>
      </c>
      <c r="N466" s="9">
        <f t="shared" si="15"/>
        <v>805.09282800000005</v>
      </c>
    </row>
    <row r="467" spans="1:14" x14ac:dyDescent="0.35">
      <c r="A467" s="7" t="s">
        <v>550</v>
      </c>
      <c r="B467" s="8">
        <v>45829</v>
      </c>
      <c r="C467" s="7" t="s">
        <v>52</v>
      </c>
      <c r="D467" s="7" t="s">
        <v>66</v>
      </c>
      <c r="E467" s="7" t="s">
        <v>73</v>
      </c>
      <c r="F467" s="7" t="s">
        <v>59</v>
      </c>
      <c r="G467" s="7" t="s">
        <v>49</v>
      </c>
      <c r="H467" s="7" t="s">
        <v>71</v>
      </c>
      <c r="I467" s="7">
        <v>8</v>
      </c>
      <c r="J467" s="9">
        <v>37.47</v>
      </c>
      <c r="K467" s="10">
        <v>8.8400000000000006E-2</v>
      </c>
      <c r="L467" s="9">
        <f t="shared" si="14"/>
        <v>273.26121599999999</v>
      </c>
      <c r="M467" s="9">
        <f>ROUND(L467*0.5568,2)</f>
        <v>152.15</v>
      </c>
      <c r="N467" s="9">
        <f t="shared" si="15"/>
        <v>121.11121599999998</v>
      </c>
    </row>
    <row r="468" spans="1:14" x14ac:dyDescent="0.35">
      <c r="A468" s="7" t="s">
        <v>551</v>
      </c>
      <c r="B468" s="8">
        <v>45829</v>
      </c>
      <c r="C468" s="7" t="s">
        <v>39</v>
      </c>
      <c r="D468" s="7" t="s">
        <v>66</v>
      </c>
      <c r="E468" s="7" t="s">
        <v>67</v>
      </c>
      <c r="F468" s="7" t="s">
        <v>48</v>
      </c>
      <c r="G468" s="7" t="s">
        <v>55</v>
      </c>
      <c r="H468" s="7" t="s">
        <v>108</v>
      </c>
      <c r="I468" s="7">
        <v>3</v>
      </c>
      <c r="J468" s="9">
        <v>85.66</v>
      </c>
      <c r="K468" s="10">
        <v>3.6299999999999999E-2</v>
      </c>
      <c r="L468" s="9">
        <f t="shared" si="14"/>
        <v>247.65162600000002</v>
      </c>
      <c r="M468" s="9">
        <f>ROUND(L468*0.5743,2)</f>
        <v>142.22999999999999</v>
      </c>
      <c r="N468" s="9">
        <f t="shared" si="15"/>
        <v>105.42162600000003</v>
      </c>
    </row>
    <row r="469" spans="1:14" x14ac:dyDescent="0.35">
      <c r="A469" s="7" t="s">
        <v>552</v>
      </c>
      <c r="B469" s="8">
        <v>45829</v>
      </c>
      <c r="C469" s="7" t="s">
        <v>46</v>
      </c>
      <c r="D469" s="7" t="s">
        <v>69</v>
      </c>
      <c r="E469" s="7" t="s">
        <v>113</v>
      </c>
      <c r="F469" s="7" t="s">
        <v>42</v>
      </c>
      <c r="G469" s="7" t="s">
        <v>43</v>
      </c>
      <c r="H469" s="7" t="s">
        <v>50</v>
      </c>
      <c r="I469" s="7">
        <v>35</v>
      </c>
      <c r="J469" s="9">
        <v>246.88</v>
      </c>
      <c r="K469" s="10">
        <v>0.11840000000000001</v>
      </c>
      <c r="L469" s="9">
        <f t="shared" si="14"/>
        <v>7617.7292799999987</v>
      </c>
      <c r="M469" s="9">
        <f>ROUND(L469*0.2548,2)</f>
        <v>1941</v>
      </c>
      <c r="N469" s="9">
        <f t="shared" si="15"/>
        <v>5676.7292799999987</v>
      </c>
    </row>
    <row r="470" spans="1:14" x14ac:dyDescent="0.35">
      <c r="A470" s="7" t="s">
        <v>553</v>
      </c>
      <c r="B470" s="8">
        <v>45829</v>
      </c>
      <c r="C470" s="7" t="s">
        <v>52</v>
      </c>
      <c r="D470" s="7" t="s">
        <v>53</v>
      </c>
      <c r="E470" s="7" t="s">
        <v>81</v>
      </c>
      <c r="F470" s="7" t="s">
        <v>48</v>
      </c>
      <c r="G470" s="7" t="s">
        <v>55</v>
      </c>
      <c r="H470" s="7" t="s">
        <v>56</v>
      </c>
      <c r="I470" s="7">
        <v>3</v>
      </c>
      <c r="J470" s="9">
        <v>1092.75</v>
      </c>
      <c r="K470" s="10">
        <v>5.2499999999999998E-2</v>
      </c>
      <c r="L470" s="9">
        <f t="shared" si="14"/>
        <v>3106.1418750000003</v>
      </c>
      <c r="M470" s="9">
        <f>ROUND(L470*0.7089,2)</f>
        <v>2201.94</v>
      </c>
      <c r="N470" s="9">
        <f t="shared" si="15"/>
        <v>904.2018750000002</v>
      </c>
    </row>
    <row r="471" spans="1:14" x14ac:dyDescent="0.35">
      <c r="A471" s="7" t="s">
        <v>554</v>
      </c>
      <c r="B471" s="8">
        <v>45830</v>
      </c>
      <c r="C471" s="7" t="s">
        <v>39</v>
      </c>
      <c r="D471" s="7" t="s">
        <v>66</v>
      </c>
      <c r="E471" s="7" t="s">
        <v>67</v>
      </c>
      <c r="F471" s="7" t="s">
        <v>42</v>
      </c>
      <c r="G471" s="7" t="s">
        <v>43</v>
      </c>
      <c r="H471" s="7" t="s">
        <v>60</v>
      </c>
      <c r="I471" s="7">
        <v>18</v>
      </c>
      <c r="J471" s="9">
        <v>88.43</v>
      </c>
      <c r="K471" s="10">
        <v>0.17549999999999999</v>
      </c>
      <c r="L471" s="9">
        <f t="shared" si="14"/>
        <v>1312.3896300000001</v>
      </c>
      <c r="M471" s="9">
        <f>ROUND(L471*0.5893,2)</f>
        <v>773.39</v>
      </c>
      <c r="N471" s="9">
        <f t="shared" si="15"/>
        <v>538.99963000000014</v>
      </c>
    </row>
    <row r="472" spans="1:14" x14ac:dyDescent="0.35">
      <c r="A472" s="7" t="s">
        <v>555</v>
      </c>
      <c r="B472" s="8">
        <v>45830</v>
      </c>
      <c r="C472" s="7" t="s">
        <v>52</v>
      </c>
      <c r="D472" s="7" t="s">
        <v>40</v>
      </c>
      <c r="E472" s="7" t="s">
        <v>41</v>
      </c>
      <c r="F472" s="7" t="s">
        <v>42</v>
      </c>
      <c r="G472" s="7" t="s">
        <v>49</v>
      </c>
      <c r="H472" s="7" t="s">
        <v>64</v>
      </c>
      <c r="I472" s="7">
        <v>14</v>
      </c>
      <c r="J472" s="9">
        <v>399.56</v>
      </c>
      <c r="K472" s="10">
        <v>0.12429999999999999</v>
      </c>
      <c r="L472" s="9">
        <f t="shared" si="14"/>
        <v>4898.5256880000006</v>
      </c>
      <c r="M472" s="9">
        <f>ROUND(L472*0.6374,2)</f>
        <v>3122.32</v>
      </c>
      <c r="N472" s="9">
        <f t="shared" si="15"/>
        <v>1776.2056880000005</v>
      </c>
    </row>
    <row r="473" spans="1:14" x14ac:dyDescent="0.35">
      <c r="A473" s="7" t="s">
        <v>556</v>
      </c>
      <c r="B473" s="8">
        <v>45830</v>
      </c>
      <c r="C473" s="7" t="s">
        <v>52</v>
      </c>
      <c r="D473" s="7" t="s">
        <v>53</v>
      </c>
      <c r="E473" s="7" t="s">
        <v>54</v>
      </c>
      <c r="F473" s="7" t="s">
        <v>42</v>
      </c>
      <c r="G473" s="7" t="s">
        <v>55</v>
      </c>
      <c r="H473" s="7" t="s">
        <v>56</v>
      </c>
      <c r="I473" s="7">
        <v>18</v>
      </c>
      <c r="J473" s="9">
        <v>1325.73</v>
      </c>
      <c r="K473" s="10">
        <v>8.09E-2</v>
      </c>
      <c r="L473" s="9">
        <f t="shared" si="14"/>
        <v>21932.611973999999</v>
      </c>
      <c r="M473" s="9">
        <f>ROUND(L473*0.6896,2)</f>
        <v>15124.73</v>
      </c>
      <c r="N473" s="9">
        <f t="shared" si="15"/>
        <v>6807.8819739999999</v>
      </c>
    </row>
    <row r="474" spans="1:14" x14ac:dyDescent="0.35">
      <c r="A474" s="7" t="s">
        <v>557</v>
      </c>
      <c r="B474" s="8">
        <v>45830</v>
      </c>
      <c r="C474" s="7" t="s">
        <v>39</v>
      </c>
      <c r="D474" s="7" t="s">
        <v>53</v>
      </c>
      <c r="E474" s="7" t="s">
        <v>81</v>
      </c>
      <c r="F474" s="7" t="s">
        <v>48</v>
      </c>
      <c r="G474" s="7" t="s">
        <v>55</v>
      </c>
      <c r="H474" s="7" t="s">
        <v>108</v>
      </c>
      <c r="I474" s="7">
        <v>3</v>
      </c>
      <c r="J474" s="9">
        <v>1107.78</v>
      </c>
      <c r="K474" s="10">
        <v>4.6199999999999998E-2</v>
      </c>
      <c r="L474" s="9">
        <f t="shared" si="14"/>
        <v>3169.801692</v>
      </c>
      <c r="M474" s="9">
        <f>ROUND(L474*0.7119,2)</f>
        <v>2256.58</v>
      </c>
      <c r="N474" s="9">
        <f t="shared" si="15"/>
        <v>913.22169200000008</v>
      </c>
    </row>
    <row r="475" spans="1:14" x14ac:dyDescent="0.35">
      <c r="A475" s="7" t="s">
        <v>558</v>
      </c>
      <c r="B475" s="8">
        <v>45831</v>
      </c>
      <c r="C475" s="7" t="s">
        <v>46</v>
      </c>
      <c r="D475" s="7" t="s">
        <v>40</v>
      </c>
      <c r="E475" s="7" t="s">
        <v>41</v>
      </c>
      <c r="F475" s="7" t="s">
        <v>48</v>
      </c>
      <c r="G475" s="7" t="s">
        <v>55</v>
      </c>
      <c r="H475" s="7" t="s">
        <v>74</v>
      </c>
      <c r="I475" s="7">
        <v>3</v>
      </c>
      <c r="J475" s="9">
        <v>412.25</v>
      </c>
      <c r="K475" s="10">
        <v>4.8599999999999997E-2</v>
      </c>
      <c r="L475" s="9">
        <f t="shared" si="14"/>
        <v>1176.6439500000001</v>
      </c>
      <c r="M475" s="9">
        <f>ROUND(L475*0.6678,2)</f>
        <v>785.76</v>
      </c>
      <c r="N475" s="9">
        <f t="shared" si="15"/>
        <v>390.88395000000014</v>
      </c>
    </row>
    <row r="476" spans="1:14" x14ac:dyDescent="0.35">
      <c r="A476" s="7" t="s">
        <v>559</v>
      </c>
      <c r="B476" s="8">
        <v>45831</v>
      </c>
      <c r="C476" s="7" t="s">
        <v>46</v>
      </c>
      <c r="D476" s="7" t="s">
        <v>40</v>
      </c>
      <c r="E476" s="7" t="s">
        <v>41</v>
      </c>
      <c r="F476" s="7" t="s">
        <v>42</v>
      </c>
      <c r="G476" s="7" t="s">
        <v>43</v>
      </c>
      <c r="H476" s="7" t="s">
        <v>95</v>
      </c>
      <c r="I476" s="7">
        <v>15</v>
      </c>
      <c r="J476" s="9">
        <v>390.44</v>
      </c>
      <c r="K476" s="10">
        <v>0.15359999999999999</v>
      </c>
      <c r="L476" s="9">
        <f t="shared" si="14"/>
        <v>4957.0262400000001</v>
      </c>
      <c r="M476" s="9">
        <f>ROUND(L476*0.6226,2)</f>
        <v>3086.24</v>
      </c>
      <c r="N476" s="9">
        <f t="shared" si="15"/>
        <v>1870.7862400000004</v>
      </c>
    </row>
    <row r="477" spans="1:14" x14ac:dyDescent="0.35">
      <c r="A477" s="7" t="s">
        <v>560</v>
      </c>
      <c r="B477" s="8">
        <v>45832</v>
      </c>
      <c r="C477" s="7" t="s">
        <v>39</v>
      </c>
      <c r="D477" s="7" t="s">
        <v>53</v>
      </c>
      <c r="E477" s="7" t="s">
        <v>87</v>
      </c>
      <c r="F477" s="7" t="s">
        <v>48</v>
      </c>
      <c r="G477" s="7" t="s">
        <v>49</v>
      </c>
      <c r="H477" s="7" t="s">
        <v>44</v>
      </c>
      <c r="I477" s="7">
        <v>2</v>
      </c>
      <c r="J477" s="9">
        <v>897.65</v>
      </c>
      <c r="K477" s="10">
        <v>4.58E-2</v>
      </c>
      <c r="L477" s="9">
        <f t="shared" si="14"/>
        <v>1713.0752600000001</v>
      </c>
      <c r="M477" s="9">
        <f>ROUND(L477*0.7298,2)</f>
        <v>1250.2</v>
      </c>
      <c r="N477" s="9">
        <f t="shared" si="15"/>
        <v>462.87526000000003</v>
      </c>
    </row>
    <row r="478" spans="1:14" x14ac:dyDescent="0.35">
      <c r="A478" s="7" t="s">
        <v>561</v>
      </c>
      <c r="B478" s="8">
        <v>45832</v>
      </c>
      <c r="C478" s="7" t="s">
        <v>46</v>
      </c>
      <c r="D478" s="7" t="s">
        <v>40</v>
      </c>
      <c r="E478" s="7" t="s">
        <v>41</v>
      </c>
      <c r="F478" s="7" t="s">
        <v>48</v>
      </c>
      <c r="G478" s="7" t="s">
        <v>49</v>
      </c>
      <c r="H478" s="7" t="s">
        <v>95</v>
      </c>
      <c r="I478" s="7">
        <v>2</v>
      </c>
      <c r="J478" s="9">
        <v>385.88</v>
      </c>
      <c r="K478" s="10">
        <v>5.1900000000000002E-2</v>
      </c>
      <c r="L478" s="9">
        <f t="shared" si="14"/>
        <v>731.70565599999998</v>
      </c>
      <c r="M478" s="9">
        <f>ROUND(L478*0.6283,2)</f>
        <v>459.73</v>
      </c>
      <c r="N478" s="9">
        <f t="shared" si="15"/>
        <v>271.97565599999996</v>
      </c>
    </row>
    <row r="479" spans="1:14" x14ac:dyDescent="0.35">
      <c r="A479" s="7" t="s">
        <v>562</v>
      </c>
      <c r="B479" s="8">
        <v>45833</v>
      </c>
      <c r="C479" s="7" t="s">
        <v>46</v>
      </c>
      <c r="D479" s="7" t="s">
        <v>69</v>
      </c>
      <c r="E479" s="7" t="s">
        <v>132</v>
      </c>
      <c r="F479" s="7" t="s">
        <v>59</v>
      </c>
      <c r="G479" s="7" t="s">
        <v>55</v>
      </c>
      <c r="H479" s="7" t="s">
        <v>74</v>
      </c>
      <c r="I479" s="7">
        <v>9</v>
      </c>
      <c r="J479" s="9">
        <v>77.47</v>
      </c>
      <c r="K479" s="10">
        <v>6.8000000000000005E-2</v>
      </c>
      <c r="L479" s="9">
        <f t="shared" si="14"/>
        <v>649.81835999999998</v>
      </c>
      <c r="M479" s="9">
        <f>ROUND(L479*0.2546,2)</f>
        <v>165.44</v>
      </c>
      <c r="N479" s="9">
        <f t="shared" si="15"/>
        <v>484.37835999999999</v>
      </c>
    </row>
    <row r="480" spans="1:14" x14ac:dyDescent="0.35">
      <c r="A480" s="7" t="s">
        <v>563</v>
      </c>
      <c r="B480" s="8">
        <v>45833</v>
      </c>
      <c r="C480" s="7" t="s">
        <v>39</v>
      </c>
      <c r="D480" s="7" t="s">
        <v>53</v>
      </c>
      <c r="E480" s="7" t="s">
        <v>81</v>
      </c>
      <c r="F480" s="7" t="s">
        <v>42</v>
      </c>
      <c r="G480" s="7" t="s">
        <v>43</v>
      </c>
      <c r="H480" s="7" t="s">
        <v>44</v>
      </c>
      <c r="I480" s="7">
        <v>20</v>
      </c>
      <c r="J480" s="9">
        <v>1100.81</v>
      </c>
      <c r="K480" s="10">
        <v>0.16470000000000001</v>
      </c>
      <c r="L480" s="9">
        <f t="shared" si="14"/>
        <v>18390.131859999998</v>
      </c>
      <c r="M480" s="9">
        <f>ROUND(L480*0.6977,2)</f>
        <v>12830.79</v>
      </c>
      <c r="N480" s="9">
        <f t="shared" si="15"/>
        <v>5559.3418599999968</v>
      </c>
    </row>
    <row r="481" spans="1:14" x14ac:dyDescent="0.35">
      <c r="A481" s="7" t="s">
        <v>564</v>
      </c>
      <c r="B481" s="8">
        <v>45833</v>
      </c>
      <c r="C481" s="7" t="s">
        <v>76</v>
      </c>
      <c r="D481" s="7" t="s">
        <v>66</v>
      </c>
      <c r="E481" s="7" t="s">
        <v>77</v>
      </c>
      <c r="F481" s="7" t="s">
        <v>42</v>
      </c>
      <c r="G481" s="7" t="s">
        <v>43</v>
      </c>
      <c r="H481" s="7" t="s">
        <v>151</v>
      </c>
      <c r="I481" s="7">
        <v>30</v>
      </c>
      <c r="J481" s="9">
        <v>93.7</v>
      </c>
      <c r="K481" s="10">
        <v>0.13220000000000001</v>
      </c>
      <c r="L481" s="9">
        <f t="shared" si="14"/>
        <v>2439.3858</v>
      </c>
      <c r="M481" s="9">
        <f>ROUND(L481*0.5815,2)</f>
        <v>1418.5</v>
      </c>
      <c r="N481" s="9">
        <f t="shared" si="15"/>
        <v>1020.8858</v>
      </c>
    </row>
    <row r="482" spans="1:14" x14ac:dyDescent="0.35">
      <c r="A482" s="7" t="s">
        <v>565</v>
      </c>
      <c r="B482" s="8">
        <v>45833</v>
      </c>
      <c r="C482" s="7" t="s">
        <v>52</v>
      </c>
      <c r="D482" s="7" t="s">
        <v>53</v>
      </c>
      <c r="E482" s="7" t="s">
        <v>54</v>
      </c>
      <c r="F482" s="7" t="s">
        <v>48</v>
      </c>
      <c r="G482" s="7" t="s">
        <v>55</v>
      </c>
      <c r="H482" s="7" t="s">
        <v>56</v>
      </c>
      <c r="I482" s="7">
        <v>3</v>
      </c>
      <c r="J482" s="9">
        <v>1306.9100000000001</v>
      </c>
      <c r="K482" s="10">
        <v>9.1000000000000004E-3</v>
      </c>
      <c r="L482" s="9">
        <f t="shared" si="14"/>
        <v>3885.0513570000003</v>
      </c>
      <c r="M482" s="9">
        <f>ROUND(L482*0.6953,2)</f>
        <v>2701.28</v>
      </c>
      <c r="N482" s="9">
        <f t="shared" si="15"/>
        <v>1183.7713570000001</v>
      </c>
    </row>
    <row r="483" spans="1:14" x14ac:dyDescent="0.35">
      <c r="A483" s="7" t="s">
        <v>566</v>
      </c>
      <c r="B483" s="8">
        <v>45833</v>
      </c>
      <c r="C483" s="7" t="s">
        <v>39</v>
      </c>
      <c r="D483" s="7" t="s">
        <v>53</v>
      </c>
      <c r="E483" s="7" t="s">
        <v>54</v>
      </c>
      <c r="F483" s="7" t="s">
        <v>48</v>
      </c>
      <c r="G483" s="7" t="s">
        <v>55</v>
      </c>
      <c r="H483" s="7" t="s">
        <v>108</v>
      </c>
      <c r="I483" s="7">
        <v>3</v>
      </c>
      <c r="J483" s="9">
        <v>1333.04</v>
      </c>
      <c r="K483" s="10">
        <v>2.8199999999999999E-2</v>
      </c>
      <c r="L483" s="9">
        <f t="shared" si="14"/>
        <v>3886.3448159999998</v>
      </c>
      <c r="M483" s="9">
        <f>ROUND(L483*0.7265,2)</f>
        <v>2823.43</v>
      </c>
      <c r="N483" s="9">
        <f t="shared" si="15"/>
        <v>1062.914816</v>
      </c>
    </row>
    <row r="484" spans="1:14" x14ac:dyDescent="0.35">
      <c r="A484" s="7" t="s">
        <v>567</v>
      </c>
      <c r="B484" s="8">
        <v>45834</v>
      </c>
      <c r="C484" s="7" t="s">
        <v>52</v>
      </c>
      <c r="D484" s="7" t="s">
        <v>53</v>
      </c>
      <c r="E484" s="7" t="s">
        <v>105</v>
      </c>
      <c r="F484" s="7" t="s">
        <v>59</v>
      </c>
      <c r="G484" s="7" t="s">
        <v>49</v>
      </c>
      <c r="H484" s="7" t="s">
        <v>64</v>
      </c>
      <c r="I484" s="7">
        <v>3</v>
      </c>
      <c r="J484" s="9">
        <v>446.13</v>
      </c>
      <c r="K484" s="10">
        <v>9.0499999999999997E-2</v>
      </c>
      <c r="L484" s="9">
        <f t="shared" si="14"/>
        <v>1217.2657049999998</v>
      </c>
      <c r="M484" s="9">
        <f>ROUND(L484*0.7083,2)</f>
        <v>862.19</v>
      </c>
      <c r="N484" s="9">
        <f t="shared" si="15"/>
        <v>355.07570499999974</v>
      </c>
    </row>
    <row r="485" spans="1:14" x14ac:dyDescent="0.35">
      <c r="A485" s="7" t="s">
        <v>568</v>
      </c>
      <c r="B485" s="8">
        <v>45835</v>
      </c>
      <c r="C485" s="7" t="s">
        <v>46</v>
      </c>
      <c r="D485" s="7" t="s">
        <v>40</v>
      </c>
      <c r="E485" s="7" t="s">
        <v>47</v>
      </c>
      <c r="F485" s="7" t="s">
        <v>48</v>
      </c>
      <c r="G485" s="7" t="s">
        <v>55</v>
      </c>
      <c r="H485" s="7" t="s">
        <v>74</v>
      </c>
      <c r="I485" s="7">
        <v>2</v>
      </c>
      <c r="J485" s="9">
        <v>247.67</v>
      </c>
      <c r="K485" s="10">
        <v>2.3800000000000002E-2</v>
      </c>
      <c r="L485" s="9">
        <f t="shared" si="14"/>
        <v>483.55090799999994</v>
      </c>
      <c r="M485" s="9">
        <f>ROUND(L485*0.6504,2)</f>
        <v>314.5</v>
      </c>
      <c r="N485" s="9">
        <f t="shared" si="15"/>
        <v>169.05090799999994</v>
      </c>
    </row>
    <row r="486" spans="1:14" x14ac:dyDescent="0.35">
      <c r="A486" s="7" t="s">
        <v>569</v>
      </c>
      <c r="B486" s="8">
        <v>45835</v>
      </c>
      <c r="C486" s="7" t="s">
        <v>52</v>
      </c>
      <c r="D486" s="7" t="s">
        <v>53</v>
      </c>
      <c r="E486" s="7" t="s">
        <v>54</v>
      </c>
      <c r="F486" s="7" t="s">
        <v>48</v>
      </c>
      <c r="G486" s="7" t="s">
        <v>49</v>
      </c>
      <c r="H486" s="7" t="s">
        <v>83</v>
      </c>
      <c r="I486" s="7">
        <v>3</v>
      </c>
      <c r="J486" s="9">
        <v>1306.02</v>
      </c>
      <c r="K486" s="10">
        <v>6.4399999999999999E-2</v>
      </c>
      <c r="L486" s="9">
        <f t="shared" si="14"/>
        <v>3665.7369359999998</v>
      </c>
      <c r="M486" s="9">
        <f>ROUND(L486*0.7099,2)</f>
        <v>2602.31</v>
      </c>
      <c r="N486" s="9">
        <f t="shared" si="15"/>
        <v>1063.4269359999998</v>
      </c>
    </row>
    <row r="487" spans="1:14" x14ac:dyDescent="0.35">
      <c r="A487" s="7" t="s">
        <v>570</v>
      </c>
      <c r="B487" s="8">
        <v>45835</v>
      </c>
      <c r="C487" s="7" t="s">
        <v>52</v>
      </c>
      <c r="D487" s="7" t="s">
        <v>66</v>
      </c>
      <c r="E487" s="7" t="s">
        <v>67</v>
      </c>
      <c r="F487" s="7" t="s">
        <v>48</v>
      </c>
      <c r="G487" s="7" t="s">
        <v>55</v>
      </c>
      <c r="H487" s="7" t="s">
        <v>56</v>
      </c>
      <c r="I487" s="7">
        <v>1</v>
      </c>
      <c r="J487" s="9">
        <v>91.54</v>
      </c>
      <c r="K487" s="10">
        <v>7.1900000000000006E-2</v>
      </c>
      <c r="L487" s="9">
        <f t="shared" si="14"/>
        <v>84.958274000000003</v>
      </c>
      <c r="M487" s="9">
        <f>ROUND(L487*0.5571,2)</f>
        <v>47.33</v>
      </c>
      <c r="N487" s="9">
        <f t="shared" si="15"/>
        <v>37.628274000000005</v>
      </c>
    </row>
    <row r="488" spans="1:14" x14ac:dyDescent="0.35">
      <c r="A488" s="7" t="s">
        <v>571</v>
      </c>
      <c r="B488" s="8">
        <v>45836</v>
      </c>
      <c r="C488" s="7" t="s">
        <v>46</v>
      </c>
      <c r="D488" s="7" t="s">
        <v>69</v>
      </c>
      <c r="E488" s="7" t="s">
        <v>107</v>
      </c>
      <c r="F488" s="7" t="s">
        <v>48</v>
      </c>
      <c r="G488" s="7" t="s">
        <v>55</v>
      </c>
      <c r="H488" s="7" t="s">
        <v>74</v>
      </c>
      <c r="I488" s="7">
        <v>3</v>
      </c>
      <c r="J488" s="9">
        <v>58</v>
      </c>
      <c r="K488" s="10">
        <v>6.7900000000000002E-2</v>
      </c>
      <c r="L488" s="9">
        <f t="shared" si="14"/>
        <v>162.18540000000002</v>
      </c>
      <c r="M488" s="9">
        <f>ROUND(L488*0.2656,2)</f>
        <v>43.08</v>
      </c>
      <c r="N488" s="9">
        <f t="shared" si="15"/>
        <v>119.10540000000002</v>
      </c>
    </row>
    <row r="489" spans="1:14" x14ac:dyDescent="0.35">
      <c r="A489" s="7" t="s">
        <v>572</v>
      </c>
      <c r="B489" s="8">
        <v>45836</v>
      </c>
      <c r="C489" s="7" t="s">
        <v>52</v>
      </c>
      <c r="D489" s="7" t="s">
        <v>66</v>
      </c>
      <c r="E489" s="7" t="s">
        <v>98</v>
      </c>
      <c r="F489" s="7" t="s">
        <v>48</v>
      </c>
      <c r="G489" s="7" t="s">
        <v>49</v>
      </c>
      <c r="H489" s="7" t="s">
        <v>71</v>
      </c>
      <c r="I489" s="7">
        <v>3</v>
      </c>
      <c r="J489" s="9">
        <v>27.32</v>
      </c>
      <c r="K489" s="10">
        <v>2.9100000000000001E-2</v>
      </c>
      <c r="L489" s="9">
        <f t="shared" si="14"/>
        <v>79.574964000000008</v>
      </c>
      <c r="M489" s="9">
        <f>ROUND(L489*0.5844,2)</f>
        <v>46.5</v>
      </c>
      <c r="N489" s="9">
        <f t="shared" si="15"/>
        <v>33.074964000000008</v>
      </c>
    </row>
    <row r="490" spans="1:14" x14ac:dyDescent="0.35">
      <c r="A490" s="7" t="s">
        <v>573</v>
      </c>
      <c r="B490" s="8">
        <v>45836</v>
      </c>
      <c r="C490" s="7" t="s">
        <v>76</v>
      </c>
      <c r="D490" s="7" t="s">
        <v>66</v>
      </c>
      <c r="E490" s="7" t="s">
        <v>98</v>
      </c>
      <c r="F490" s="7" t="s">
        <v>48</v>
      </c>
      <c r="G490" s="7" t="s">
        <v>55</v>
      </c>
      <c r="H490" s="7" t="s">
        <v>78</v>
      </c>
      <c r="I490" s="7">
        <v>3</v>
      </c>
      <c r="J490" s="9">
        <v>29.41</v>
      </c>
      <c r="K490" s="10">
        <v>5.1499999999999997E-2</v>
      </c>
      <c r="L490" s="9">
        <f t="shared" si="14"/>
        <v>83.686154999999999</v>
      </c>
      <c r="M490" s="9">
        <f>ROUND(L490*0.5728,2)</f>
        <v>47.94</v>
      </c>
      <c r="N490" s="9">
        <f t="shared" si="15"/>
        <v>35.746155000000002</v>
      </c>
    </row>
    <row r="491" spans="1:14" x14ac:dyDescent="0.35">
      <c r="A491" s="7" t="s">
        <v>574</v>
      </c>
      <c r="B491" s="8">
        <v>45837</v>
      </c>
      <c r="C491" s="7" t="s">
        <v>39</v>
      </c>
      <c r="D491" s="7" t="s">
        <v>66</v>
      </c>
      <c r="E491" s="7" t="s">
        <v>77</v>
      </c>
      <c r="F491" s="7" t="s">
        <v>48</v>
      </c>
      <c r="G491" s="7" t="s">
        <v>55</v>
      </c>
      <c r="H491" s="7" t="s">
        <v>108</v>
      </c>
      <c r="I491" s="7">
        <v>2</v>
      </c>
      <c r="J491" s="9">
        <v>96.72</v>
      </c>
      <c r="K491" s="10">
        <v>3.6499999999999998E-2</v>
      </c>
      <c r="L491" s="9">
        <f t="shared" si="14"/>
        <v>186.37943999999999</v>
      </c>
      <c r="M491" s="9">
        <f>ROUND(L491*0.5717,2)</f>
        <v>106.55</v>
      </c>
      <c r="N491" s="9">
        <f t="shared" si="15"/>
        <v>79.829439999999991</v>
      </c>
    </row>
    <row r="492" spans="1:14" x14ac:dyDescent="0.35">
      <c r="A492" s="7" t="s">
        <v>575</v>
      </c>
      <c r="B492" s="8">
        <v>45837</v>
      </c>
      <c r="C492" s="7" t="s">
        <v>52</v>
      </c>
      <c r="D492" s="7" t="s">
        <v>69</v>
      </c>
      <c r="E492" s="7" t="s">
        <v>119</v>
      </c>
      <c r="F492" s="7" t="s">
        <v>48</v>
      </c>
      <c r="G492" s="7" t="s">
        <v>55</v>
      </c>
      <c r="H492" s="7" t="s">
        <v>56</v>
      </c>
      <c r="I492" s="7">
        <v>2</v>
      </c>
      <c r="J492" s="9">
        <v>192.74</v>
      </c>
      <c r="K492" s="10">
        <v>4.36E-2</v>
      </c>
      <c r="L492" s="9">
        <f t="shared" si="14"/>
        <v>368.67307200000005</v>
      </c>
      <c r="M492" s="9">
        <f>ROUND(L492*0.2213,2)</f>
        <v>81.59</v>
      </c>
      <c r="N492" s="9">
        <f t="shared" si="15"/>
        <v>287.08307200000002</v>
      </c>
    </row>
    <row r="493" spans="1:14" x14ac:dyDescent="0.35">
      <c r="A493" s="7" t="s">
        <v>576</v>
      </c>
      <c r="B493" s="8">
        <v>45838</v>
      </c>
      <c r="C493" s="7" t="s">
        <v>52</v>
      </c>
      <c r="D493" s="7" t="s">
        <v>69</v>
      </c>
      <c r="E493" s="7" t="s">
        <v>107</v>
      </c>
      <c r="F493" s="7" t="s">
        <v>48</v>
      </c>
      <c r="G493" s="7" t="s">
        <v>49</v>
      </c>
      <c r="H493" s="7" t="s">
        <v>64</v>
      </c>
      <c r="I493" s="7">
        <v>3</v>
      </c>
      <c r="J493" s="9">
        <v>58.6</v>
      </c>
      <c r="K493" s="10">
        <v>3.4200000000000001E-2</v>
      </c>
      <c r="L493" s="9">
        <f t="shared" si="14"/>
        <v>169.78764000000001</v>
      </c>
      <c r="M493" s="9">
        <f>ROUND(L493*0.2424,2)</f>
        <v>41.16</v>
      </c>
      <c r="N493" s="9">
        <f t="shared" si="15"/>
        <v>128.62764000000001</v>
      </c>
    </row>
    <row r="494" spans="1:14" x14ac:dyDescent="0.35">
      <c r="A494" s="7" t="s">
        <v>577</v>
      </c>
      <c r="B494" s="8">
        <v>45838</v>
      </c>
      <c r="C494" s="7" t="s">
        <v>52</v>
      </c>
      <c r="D494" s="7" t="s">
        <v>66</v>
      </c>
      <c r="E494" s="7" t="s">
        <v>73</v>
      </c>
      <c r="F494" s="7" t="s">
        <v>48</v>
      </c>
      <c r="G494" s="7" t="s">
        <v>55</v>
      </c>
      <c r="H494" s="7" t="s">
        <v>56</v>
      </c>
      <c r="I494" s="7">
        <v>2</v>
      </c>
      <c r="J494" s="9">
        <v>39.909999999999997</v>
      </c>
      <c r="K494" s="10">
        <v>5.21E-2</v>
      </c>
      <c r="L494" s="9">
        <f t="shared" si="14"/>
        <v>75.661377999999985</v>
      </c>
      <c r="M494" s="9">
        <f>ROUND(L494*0.5504,2)</f>
        <v>41.64</v>
      </c>
      <c r="N494" s="9">
        <f t="shared" si="15"/>
        <v>34.021377999999984</v>
      </c>
    </row>
    <row r="495" spans="1:14" x14ac:dyDescent="0.35">
      <c r="A495" s="7" t="s">
        <v>578</v>
      </c>
      <c r="B495" s="8">
        <v>45838</v>
      </c>
      <c r="C495" s="7" t="s">
        <v>39</v>
      </c>
      <c r="D495" s="7" t="s">
        <v>69</v>
      </c>
      <c r="E495" s="7" t="s">
        <v>70</v>
      </c>
      <c r="F495" s="7" t="s">
        <v>59</v>
      </c>
      <c r="G495" s="7" t="s">
        <v>49</v>
      </c>
      <c r="H495" s="7" t="s">
        <v>44</v>
      </c>
      <c r="I495" s="7">
        <v>4</v>
      </c>
      <c r="J495" s="9">
        <v>138.94</v>
      </c>
      <c r="K495" s="10">
        <v>8.2400000000000001E-2</v>
      </c>
      <c r="L495" s="9">
        <f t="shared" si="14"/>
        <v>509.96537599999999</v>
      </c>
      <c r="M495" s="9">
        <f>ROUND(L495*0.2646,2)</f>
        <v>134.94</v>
      </c>
      <c r="N495" s="9">
        <f t="shared" si="15"/>
        <v>375.02537599999999</v>
      </c>
    </row>
    <row r="496" spans="1:14" x14ac:dyDescent="0.35">
      <c r="A496" s="7" t="s">
        <v>579</v>
      </c>
      <c r="B496" s="8">
        <v>45838</v>
      </c>
      <c r="C496" s="7" t="s">
        <v>52</v>
      </c>
      <c r="D496" s="7" t="s">
        <v>66</v>
      </c>
      <c r="E496" s="7" t="s">
        <v>98</v>
      </c>
      <c r="F496" s="7" t="s">
        <v>59</v>
      </c>
      <c r="G496" s="7" t="s">
        <v>43</v>
      </c>
      <c r="H496" s="7" t="s">
        <v>64</v>
      </c>
      <c r="I496" s="7">
        <v>8</v>
      </c>
      <c r="J496" s="9">
        <v>27.53</v>
      </c>
      <c r="K496" s="10">
        <v>8.4099999999999994E-2</v>
      </c>
      <c r="L496" s="9">
        <f t="shared" si="14"/>
        <v>201.71781600000003</v>
      </c>
      <c r="M496" s="9">
        <f>ROUND(L496*0.6056,2)</f>
        <v>122.16</v>
      </c>
      <c r="N496" s="9">
        <f t="shared" si="15"/>
        <v>79.557816000000031</v>
      </c>
    </row>
    <row r="497" spans="1:14" x14ac:dyDescent="0.35">
      <c r="A497" s="7" t="s">
        <v>580</v>
      </c>
      <c r="B497" s="8">
        <v>45838</v>
      </c>
      <c r="C497" s="7" t="s">
        <v>39</v>
      </c>
      <c r="D497" s="7" t="s">
        <v>40</v>
      </c>
      <c r="E497" s="7" t="s">
        <v>62</v>
      </c>
      <c r="F497" s="7" t="s">
        <v>48</v>
      </c>
      <c r="G497" s="7" t="s">
        <v>55</v>
      </c>
      <c r="H497" s="7" t="s">
        <v>108</v>
      </c>
      <c r="I497" s="7">
        <v>2</v>
      </c>
      <c r="J497" s="9">
        <v>193.95</v>
      </c>
      <c r="K497" s="10">
        <v>1.9E-3</v>
      </c>
      <c r="L497" s="9">
        <f t="shared" si="14"/>
        <v>387.16298999999998</v>
      </c>
      <c r="M497" s="9">
        <f>ROUND(L497*0.6658,2)</f>
        <v>257.77</v>
      </c>
      <c r="N497" s="9">
        <f t="shared" si="15"/>
        <v>129.39299</v>
      </c>
    </row>
    <row r="498" spans="1:14" x14ac:dyDescent="0.35">
      <c r="A498" s="7" t="s">
        <v>581</v>
      </c>
      <c r="B498" s="8">
        <v>45839</v>
      </c>
      <c r="C498" s="7" t="s">
        <v>76</v>
      </c>
      <c r="D498" s="7" t="s">
        <v>66</v>
      </c>
      <c r="E498" s="7" t="s">
        <v>98</v>
      </c>
      <c r="F498" s="7" t="s">
        <v>42</v>
      </c>
      <c r="G498" s="7" t="s">
        <v>49</v>
      </c>
      <c r="H498" s="7" t="s">
        <v>110</v>
      </c>
      <c r="I498" s="7">
        <v>39</v>
      </c>
      <c r="J498" s="9">
        <v>27.54</v>
      </c>
      <c r="K498" s="10">
        <v>0.13100000000000001</v>
      </c>
      <c r="L498" s="9">
        <f t="shared" si="14"/>
        <v>933.35813999999993</v>
      </c>
      <c r="M498" s="9">
        <f>ROUND(L498*0.5785,2)</f>
        <v>539.95000000000005</v>
      </c>
      <c r="N498" s="9">
        <f t="shared" si="15"/>
        <v>393.40813999999989</v>
      </c>
    </row>
    <row r="499" spans="1:14" x14ac:dyDescent="0.35">
      <c r="A499" s="7" t="s">
        <v>582</v>
      </c>
      <c r="B499" s="8">
        <v>45839</v>
      </c>
      <c r="C499" s="7" t="s">
        <v>39</v>
      </c>
      <c r="D499" s="7" t="s">
        <v>66</v>
      </c>
      <c r="E499" s="7" t="s">
        <v>77</v>
      </c>
      <c r="F499" s="7" t="s">
        <v>42</v>
      </c>
      <c r="G499" s="7" t="s">
        <v>55</v>
      </c>
      <c r="H499" s="7" t="s">
        <v>108</v>
      </c>
      <c r="I499" s="7">
        <v>26</v>
      </c>
      <c r="J499" s="9">
        <v>97.17</v>
      </c>
      <c r="K499" s="10">
        <v>0.111</v>
      </c>
      <c r="L499" s="9">
        <f t="shared" si="14"/>
        <v>2245.98738</v>
      </c>
      <c r="M499" s="9">
        <f>ROUND(L499*0.5936,2)</f>
        <v>1333.22</v>
      </c>
      <c r="N499" s="9">
        <f t="shared" si="15"/>
        <v>912.76738</v>
      </c>
    </row>
    <row r="500" spans="1:14" x14ac:dyDescent="0.35">
      <c r="A500" s="7" t="s">
        <v>583</v>
      </c>
      <c r="B500" s="8">
        <v>45839</v>
      </c>
      <c r="C500" s="7" t="s">
        <v>76</v>
      </c>
      <c r="D500" s="7" t="s">
        <v>66</v>
      </c>
      <c r="E500" s="7" t="s">
        <v>67</v>
      </c>
      <c r="F500" s="7" t="s">
        <v>59</v>
      </c>
      <c r="G500" s="7" t="s">
        <v>55</v>
      </c>
      <c r="H500" s="7" t="s">
        <v>78</v>
      </c>
      <c r="I500" s="7">
        <v>5</v>
      </c>
      <c r="J500" s="9">
        <v>85.87</v>
      </c>
      <c r="K500" s="10">
        <v>7.0199999999999999E-2</v>
      </c>
      <c r="L500" s="9">
        <f t="shared" si="14"/>
        <v>399.20963</v>
      </c>
      <c r="M500" s="9">
        <f>ROUND(L500*0.5918,2)</f>
        <v>236.25</v>
      </c>
      <c r="N500" s="9">
        <f t="shared" si="15"/>
        <v>162.95963</v>
      </c>
    </row>
    <row r="501" spans="1:14" x14ac:dyDescent="0.35">
      <c r="A501" s="7" t="s">
        <v>584</v>
      </c>
      <c r="B501" s="8">
        <v>45839</v>
      </c>
      <c r="C501" s="7" t="s">
        <v>39</v>
      </c>
      <c r="D501" s="7" t="s">
        <v>53</v>
      </c>
      <c r="E501" s="7" t="s">
        <v>105</v>
      </c>
      <c r="F501" s="7" t="s">
        <v>59</v>
      </c>
      <c r="G501" s="7" t="s">
        <v>49</v>
      </c>
      <c r="H501" s="7" t="s">
        <v>44</v>
      </c>
      <c r="I501" s="7">
        <v>3</v>
      </c>
      <c r="J501" s="9">
        <v>442.07</v>
      </c>
      <c r="K501" s="10">
        <v>6.5699999999999995E-2</v>
      </c>
      <c r="L501" s="9">
        <f t="shared" si="14"/>
        <v>1239.0780030000001</v>
      </c>
      <c r="M501" s="9">
        <f>ROUND(L501*0.7253,2)</f>
        <v>898.7</v>
      </c>
      <c r="N501" s="9">
        <f t="shared" si="15"/>
        <v>340.37800300000004</v>
      </c>
    </row>
    <row r="502" spans="1:14" x14ac:dyDescent="0.35">
      <c r="A502" s="7" t="s">
        <v>585</v>
      </c>
      <c r="B502" s="8">
        <v>45839</v>
      </c>
      <c r="C502" s="7" t="s">
        <v>46</v>
      </c>
      <c r="D502" s="7" t="s">
        <v>66</v>
      </c>
      <c r="E502" s="7" t="s">
        <v>137</v>
      </c>
      <c r="F502" s="7" t="s">
        <v>42</v>
      </c>
      <c r="G502" s="7" t="s">
        <v>49</v>
      </c>
      <c r="H502" s="7" t="s">
        <v>95</v>
      </c>
      <c r="I502" s="7">
        <v>21</v>
      </c>
      <c r="J502" s="9">
        <v>158.62</v>
      </c>
      <c r="K502" s="10">
        <v>0.1169</v>
      </c>
      <c r="L502" s="9">
        <f t="shared" si="14"/>
        <v>2941.6237620000002</v>
      </c>
      <c r="M502" s="9">
        <f>ROUND(L502*0.5993,2)</f>
        <v>1762.92</v>
      </c>
      <c r="N502" s="9">
        <f t="shared" si="15"/>
        <v>1178.7037620000001</v>
      </c>
    </row>
    <row r="503" spans="1:14" x14ac:dyDescent="0.35">
      <c r="A503" s="7" t="s">
        <v>586</v>
      </c>
      <c r="B503" s="8">
        <v>45839</v>
      </c>
      <c r="C503" s="7" t="s">
        <v>46</v>
      </c>
      <c r="D503" s="7" t="s">
        <v>66</v>
      </c>
      <c r="E503" s="7" t="s">
        <v>137</v>
      </c>
      <c r="F503" s="7" t="s">
        <v>59</v>
      </c>
      <c r="G503" s="7" t="s">
        <v>55</v>
      </c>
      <c r="H503" s="7" t="s">
        <v>74</v>
      </c>
      <c r="I503" s="7">
        <v>9</v>
      </c>
      <c r="J503" s="9">
        <v>162.11000000000001</v>
      </c>
      <c r="K503" s="10">
        <v>3.3300000000000003E-2</v>
      </c>
      <c r="L503" s="9">
        <f t="shared" si="14"/>
        <v>1410.4056330000003</v>
      </c>
      <c r="M503" s="9">
        <f>ROUND(L503*0.5911,2)</f>
        <v>833.69</v>
      </c>
      <c r="N503" s="9">
        <f t="shared" si="15"/>
        <v>576.71563300000025</v>
      </c>
    </row>
    <row r="504" spans="1:14" x14ac:dyDescent="0.35">
      <c r="A504" s="7" t="s">
        <v>587</v>
      </c>
      <c r="B504" s="8">
        <v>45839</v>
      </c>
      <c r="C504" s="7" t="s">
        <v>46</v>
      </c>
      <c r="D504" s="7" t="s">
        <v>69</v>
      </c>
      <c r="E504" s="7" t="s">
        <v>113</v>
      </c>
      <c r="F504" s="7" t="s">
        <v>59</v>
      </c>
      <c r="G504" s="7" t="s">
        <v>43</v>
      </c>
      <c r="H504" s="7" t="s">
        <v>95</v>
      </c>
      <c r="I504" s="7">
        <v>5</v>
      </c>
      <c r="J504" s="9">
        <v>242.86</v>
      </c>
      <c r="K504" s="10">
        <v>0.15210000000000001</v>
      </c>
      <c r="L504" s="9">
        <f t="shared" si="14"/>
        <v>1029.6049700000001</v>
      </c>
      <c r="M504" s="9">
        <f>ROUND(L504*0.224,2)</f>
        <v>230.63</v>
      </c>
      <c r="N504" s="9">
        <f t="shared" si="15"/>
        <v>798.9749700000001</v>
      </c>
    </row>
    <row r="505" spans="1:14" x14ac:dyDescent="0.35">
      <c r="A505" s="7" t="s">
        <v>588</v>
      </c>
      <c r="B505" s="8">
        <v>45839</v>
      </c>
      <c r="C505" s="7" t="s">
        <v>39</v>
      </c>
      <c r="D505" s="7" t="s">
        <v>53</v>
      </c>
      <c r="E505" s="7" t="s">
        <v>54</v>
      </c>
      <c r="F505" s="7" t="s">
        <v>48</v>
      </c>
      <c r="G505" s="7" t="s">
        <v>49</v>
      </c>
      <c r="H505" s="7" t="s">
        <v>44</v>
      </c>
      <c r="I505" s="7">
        <v>2</v>
      </c>
      <c r="J505" s="9">
        <v>1228.49</v>
      </c>
      <c r="K505" s="10">
        <v>6.6600000000000006E-2</v>
      </c>
      <c r="L505" s="9">
        <f t="shared" si="14"/>
        <v>2293.3451319999999</v>
      </c>
      <c r="M505" s="9">
        <f>ROUND(L505*0.6962,2)</f>
        <v>1596.63</v>
      </c>
      <c r="N505" s="9">
        <f t="shared" si="15"/>
        <v>696.71513199999981</v>
      </c>
    </row>
    <row r="506" spans="1:14" x14ac:dyDescent="0.35">
      <c r="A506" s="7" t="s">
        <v>589</v>
      </c>
      <c r="B506" s="8">
        <v>45840</v>
      </c>
      <c r="C506" s="7" t="s">
        <v>76</v>
      </c>
      <c r="D506" s="7" t="s">
        <v>66</v>
      </c>
      <c r="E506" s="7" t="s">
        <v>137</v>
      </c>
      <c r="F506" s="7" t="s">
        <v>42</v>
      </c>
      <c r="G506" s="7" t="s">
        <v>43</v>
      </c>
      <c r="H506" s="7" t="s">
        <v>110</v>
      </c>
      <c r="I506" s="7">
        <v>17</v>
      </c>
      <c r="J506" s="9">
        <v>151.82</v>
      </c>
      <c r="K506" s="10">
        <v>0.20369999999999999</v>
      </c>
      <c r="L506" s="9">
        <f t="shared" si="14"/>
        <v>2055.202522</v>
      </c>
      <c r="M506" s="9">
        <f>ROUND(L506*0.5752,2)</f>
        <v>1182.1500000000001</v>
      </c>
      <c r="N506" s="9">
        <f t="shared" si="15"/>
        <v>873.05252199999995</v>
      </c>
    </row>
    <row r="507" spans="1:14" x14ac:dyDescent="0.35">
      <c r="A507" s="7" t="s">
        <v>590</v>
      </c>
      <c r="B507" s="8">
        <v>45840</v>
      </c>
      <c r="C507" s="7" t="s">
        <v>52</v>
      </c>
      <c r="D507" s="7" t="s">
        <v>69</v>
      </c>
      <c r="E507" s="7" t="s">
        <v>70</v>
      </c>
      <c r="F507" s="7" t="s">
        <v>42</v>
      </c>
      <c r="G507" s="7" t="s">
        <v>55</v>
      </c>
      <c r="H507" s="7" t="s">
        <v>56</v>
      </c>
      <c r="I507" s="7">
        <v>34</v>
      </c>
      <c r="J507" s="9">
        <v>145.69</v>
      </c>
      <c r="K507" s="10">
        <v>8.2299999999999998E-2</v>
      </c>
      <c r="L507" s="9">
        <f t="shared" si="14"/>
        <v>4545.790242</v>
      </c>
      <c r="M507" s="9">
        <f>ROUND(L507*0.2222,2)</f>
        <v>1010.07</v>
      </c>
      <c r="N507" s="9">
        <f t="shared" si="15"/>
        <v>3535.7202419999999</v>
      </c>
    </row>
    <row r="508" spans="1:14" x14ac:dyDescent="0.35">
      <c r="A508" s="7" t="s">
        <v>591</v>
      </c>
      <c r="B508" s="8">
        <v>45840</v>
      </c>
      <c r="C508" s="7" t="s">
        <v>39</v>
      </c>
      <c r="D508" s="7" t="s">
        <v>53</v>
      </c>
      <c r="E508" s="7" t="s">
        <v>54</v>
      </c>
      <c r="F508" s="7" t="s">
        <v>59</v>
      </c>
      <c r="G508" s="7" t="s">
        <v>55</v>
      </c>
      <c r="H508" s="7" t="s">
        <v>108</v>
      </c>
      <c r="I508" s="7">
        <v>6</v>
      </c>
      <c r="J508" s="9">
        <v>1296.18</v>
      </c>
      <c r="K508" s="10">
        <v>6.6699999999999995E-2</v>
      </c>
      <c r="L508" s="9">
        <f t="shared" si="14"/>
        <v>7258.3487640000003</v>
      </c>
      <c r="M508" s="9">
        <f>ROUND(L508*0.6987,2)</f>
        <v>5071.41</v>
      </c>
      <c r="N508" s="9">
        <f t="shared" si="15"/>
        <v>2186.9387640000004</v>
      </c>
    </row>
    <row r="509" spans="1:14" x14ac:dyDescent="0.35">
      <c r="A509" s="7" t="s">
        <v>592</v>
      </c>
      <c r="B509" s="8">
        <v>45842</v>
      </c>
      <c r="C509" s="7" t="s">
        <v>76</v>
      </c>
      <c r="D509" s="7" t="s">
        <v>53</v>
      </c>
      <c r="E509" s="7" t="s">
        <v>58</v>
      </c>
      <c r="F509" s="7" t="s">
        <v>59</v>
      </c>
      <c r="G509" s="7" t="s">
        <v>43</v>
      </c>
      <c r="H509" s="7" t="s">
        <v>110</v>
      </c>
      <c r="I509" s="7">
        <v>9</v>
      </c>
      <c r="J509" s="9">
        <v>660.59</v>
      </c>
      <c r="K509" s="10">
        <v>0.13059999999999999</v>
      </c>
      <c r="L509" s="9">
        <f t="shared" si="14"/>
        <v>5168.8525140000002</v>
      </c>
      <c r="M509" s="9">
        <f>ROUND(L509*0.6992,2)</f>
        <v>3614.06</v>
      </c>
      <c r="N509" s="9">
        <f t="shared" si="15"/>
        <v>1554.7925140000002</v>
      </c>
    </row>
    <row r="510" spans="1:14" x14ac:dyDescent="0.35">
      <c r="A510" s="7" t="s">
        <v>593</v>
      </c>
      <c r="B510" s="8">
        <v>45842</v>
      </c>
      <c r="C510" s="7" t="s">
        <v>39</v>
      </c>
      <c r="D510" s="7" t="s">
        <v>69</v>
      </c>
      <c r="E510" s="7" t="s">
        <v>119</v>
      </c>
      <c r="F510" s="7" t="s">
        <v>59</v>
      </c>
      <c r="G510" s="7" t="s">
        <v>55</v>
      </c>
      <c r="H510" s="7" t="s">
        <v>108</v>
      </c>
      <c r="I510" s="7">
        <v>8</v>
      </c>
      <c r="J510" s="9">
        <v>205.05</v>
      </c>
      <c r="K510" s="10">
        <v>7.5999999999999998E-2</v>
      </c>
      <c r="L510" s="9">
        <f t="shared" si="14"/>
        <v>1515.7296000000001</v>
      </c>
      <c r="M510" s="9">
        <f>ROUND(L510*0.2347,2)</f>
        <v>355.74</v>
      </c>
      <c r="N510" s="9">
        <f t="shared" si="15"/>
        <v>1159.9896000000001</v>
      </c>
    </row>
    <row r="511" spans="1:14" x14ac:dyDescent="0.35">
      <c r="A511" s="7" t="s">
        <v>594</v>
      </c>
      <c r="B511" s="8">
        <v>45843</v>
      </c>
      <c r="C511" s="7" t="s">
        <v>76</v>
      </c>
      <c r="D511" s="7" t="s">
        <v>53</v>
      </c>
      <c r="E511" s="7" t="s">
        <v>105</v>
      </c>
      <c r="F511" s="7" t="s">
        <v>48</v>
      </c>
      <c r="G511" s="7" t="s">
        <v>49</v>
      </c>
      <c r="H511" s="7" t="s">
        <v>110</v>
      </c>
      <c r="I511" s="7">
        <v>3</v>
      </c>
      <c r="J511" s="9">
        <v>441.07</v>
      </c>
      <c r="K511" s="10">
        <v>3.9800000000000002E-2</v>
      </c>
      <c r="L511" s="9">
        <f t="shared" si="14"/>
        <v>1270.5462419999999</v>
      </c>
      <c r="M511" s="9">
        <f>ROUND(L511*0.7363,2)</f>
        <v>935.5</v>
      </c>
      <c r="N511" s="9">
        <f t="shared" si="15"/>
        <v>335.04624199999989</v>
      </c>
    </row>
    <row r="512" spans="1:14" x14ac:dyDescent="0.35">
      <c r="A512" s="7" t="s">
        <v>595</v>
      </c>
      <c r="B512" s="8">
        <v>45844</v>
      </c>
      <c r="C512" s="7" t="s">
        <v>76</v>
      </c>
      <c r="D512" s="7" t="s">
        <v>40</v>
      </c>
      <c r="E512" s="7" t="s">
        <v>91</v>
      </c>
      <c r="F512" s="7" t="s">
        <v>59</v>
      </c>
      <c r="G512" s="7" t="s">
        <v>49</v>
      </c>
      <c r="H512" s="7" t="s">
        <v>151</v>
      </c>
      <c r="I512" s="7">
        <v>8</v>
      </c>
      <c r="J512" s="9">
        <v>129.16</v>
      </c>
      <c r="K512" s="10">
        <v>0.11070000000000001</v>
      </c>
      <c r="L512" s="9">
        <f t="shared" si="14"/>
        <v>918.89590399999997</v>
      </c>
      <c r="M512" s="9">
        <f>ROUND(L512*0.6698,2)</f>
        <v>615.48</v>
      </c>
      <c r="N512" s="9">
        <f t="shared" si="15"/>
        <v>303.41590399999995</v>
      </c>
    </row>
    <row r="513" spans="1:14" x14ac:dyDescent="0.35">
      <c r="A513" s="7" t="s">
        <v>596</v>
      </c>
      <c r="B513" s="8">
        <v>45844</v>
      </c>
      <c r="C513" s="7" t="s">
        <v>46</v>
      </c>
      <c r="D513" s="7" t="s">
        <v>53</v>
      </c>
      <c r="E513" s="7" t="s">
        <v>87</v>
      </c>
      <c r="F513" s="7" t="s">
        <v>59</v>
      </c>
      <c r="G513" s="7" t="s">
        <v>43</v>
      </c>
      <c r="H513" s="7" t="s">
        <v>50</v>
      </c>
      <c r="I513" s="7">
        <v>9</v>
      </c>
      <c r="J513" s="9">
        <v>892.15</v>
      </c>
      <c r="K513" s="10">
        <v>0.1653</v>
      </c>
      <c r="L513" s="9">
        <f t="shared" si="14"/>
        <v>6702.0984449999996</v>
      </c>
      <c r="M513" s="9">
        <f>ROUND(L513*0.7221,2)</f>
        <v>4839.59</v>
      </c>
      <c r="N513" s="9">
        <f t="shared" si="15"/>
        <v>1862.5084449999995</v>
      </c>
    </row>
    <row r="514" spans="1:14" x14ac:dyDescent="0.35">
      <c r="A514" s="7" t="s">
        <v>597</v>
      </c>
      <c r="B514" s="8">
        <v>45845</v>
      </c>
      <c r="C514" s="7" t="s">
        <v>46</v>
      </c>
      <c r="D514" s="7" t="s">
        <v>66</v>
      </c>
      <c r="E514" s="7" t="s">
        <v>73</v>
      </c>
      <c r="F514" s="7" t="s">
        <v>48</v>
      </c>
      <c r="G514" s="7" t="s">
        <v>55</v>
      </c>
      <c r="H514" s="7" t="s">
        <v>74</v>
      </c>
      <c r="I514" s="7">
        <v>3</v>
      </c>
      <c r="J514" s="9">
        <v>39.72</v>
      </c>
      <c r="K514" s="10">
        <v>5.8299999999999998E-2</v>
      </c>
      <c r="L514" s="9">
        <f t="shared" ref="L514:L577" si="16">I514*J514*(1-K514)</f>
        <v>112.21297199999999</v>
      </c>
      <c r="M514" s="9">
        <f>ROUND(L514*0.5919,2)</f>
        <v>66.42</v>
      </c>
      <c r="N514" s="9">
        <f t="shared" ref="N514:N577" si="17">L514-M514</f>
        <v>45.792971999999992</v>
      </c>
    </row>
    <row r="515" spans="1:14" x14ac:dyDescent="0.35">
      <c r="A515" s="7" t="s">
        <v>598</v>
      </c>
      <c r="B515" s="8">
        <v>45845</v>
      </c>
      <c r="C515" s="7" t="s">
        <v>46</v>
      </c>
      <c r="D515" s="7" t="s">
        <v>53</v>
      </c>
      <c r="E515" s="7" t="s">
        <v>87</v>
      </c>
      <c r="F515" s="7" t="s">
        <v>59</v>
      </c>
      <c r="G515" s="7" t="s">
        <v>43</v>
      </c>
      <c r="H515" s="7" t="s">
        <v>95</v>
      </c>
      <c r="I515" s="7">
        <v>10</v>
      </c>
      <c r="J515" s="9">
        <v>864.96</v>
      </c>
      <c r="K515" s="10">
        <v>0.112</v>
      </c>
      <c r="L515" s="9">
        <f t="shared" si="16"/>
        <v>7680.8448000000008</v>
      </c>
      <c r="M515" s="9">
        <f>ROUND(L515*0.6913,2)</f>
        <v>5309.77</v>
      </c>
      <c r="N515" s="9">
        <f t="shared" si="17"/>
        <v>2371.0748000000003</v>
      </c>
    </row>
    <row r="516" spans="1:14" x14ac:dyDescent="0.35">
      <c r="A516" s="7" t="s">
        <v>599</v>
      </c>
      <c r="B516" s="8">
        <v>45845</v>
      </c>
      <c r="C516" s="7" t="s">
        <v>52</v>
      </c>
      <c r="D516" s="7" t="s">
        <v>53</v>
      </c>
      <c r="E516" s="7" t="s">
        <v>105</v>
      </c>
      <c r="F516" s="7" t="s">
        <v>59</v>
      </c>
      <c r="G516" s="7" t="s">
        <v>55</v>
      </c>
      <c r="H516" s="7" t="s">
        <v>56</v>
      </c>
      <c r="I516" s="7">
        <v>10</v>
      </c>
      <c r="J516" s="9">
        <v>455.75</v>
      </c>
      <c r="K516" s="10">
        <v>6.3600000000000004E-2</v>
      </c>
      <c r="L516" s="9">
        <f t="shared" si="16"/>
        <v>4267.643</v>
      </c>
      <c r="M516" s="9">
        <f>ROUND(L516*0.7333,2)</f>
        <v>3129.46</v>
      </c>
      <c r="N516" s="9">
        <f t="shared" si="17"/>
        <v>1138.183</v>
      </c>
    </row>
    <row r="517" spans="1:14" x14ac:dyDescent="0.35">
      <c r="A517" s="7" t="s">
        <v>600</v>
      </c>
      <c r="B517" s="8">
        <v>45845</v>
      </c>
      <c r="C517" s="7" t="s">
        <v>46</v>
      </c>
      <c r="D517" s="7" t="s">
        <v>53</v>
      </c>
      <c r="E517" s="7" t="s">
        <v>81</v>
      </c>
      <c r="F517" s="7" t="s">
        <v>59</v>
      </c>
      <c r="G517" s="7" t="s">
        <v>43</v>
      </c>
      <c r="H517" s="7" t="s">
        <v>50</v>
      </c>
      <c r="I517" s="7">
        <v>6</v>
      </c>
      <c r="J517" s="9">
        <v>1067.0899999999999</v>
      </c>
      <c r="K517" s="10">
        <v>0.14430000000000001</v>
      </c>
      <c r="L517" s="9">
        <f t="shared" si="16"/>
        <v>5478.6534779999993</v>
      </c>
      <c r="M517" s="9">
        <f>ROUND(L517*0.6948,2)</f>
        <v>3806.57</v>
      </c>
      <c r="N517" s="9">
        <f t="shared" si="17"/>
        <v>1672.0834779999991</v>
      </c>
    </row>
    <row r="518" spans="1:14" x14ac:dyDescent="0.35">
      <c r="A518" s="7" t="s">
        <v>601</v>
      </c>
      <c r="B518" s="8">
        <v>45845</v>
      </c>
      <c r="C518" s="7" t="s">
        <v>76</v>
      </c>
      <c r="D518" s="7" t="s">
        <v>69</v>
      </c>
      <c r="E518" s="7" t="s">
        <v>119</v>
      </c>
      <c r="F518" s="7" t="s">
        <v>48</v>
      </c>
      <c r="G518" s="7" t="s">
        <v>55</v>
      </c>
      <c r="H518" s="7" t="s">
        <v>78</v>
      </c>
      <c r="I518" s="7">
        <v>1</v>
      </c>
      <c r="J518" s="9">
        <v>204.63</v>
      </c>
      <c r="K518" s="10">
        <v>1.72E-2</v>
      </c>
      <c r="L518" s="9">
        <f t="shared" si="16"/>
        <v>201.110364</v>
      </c>
      <c r="M518" s="9">
        <f>ROUND(L518*0.2603,2)</f>
        <v>52.35</v>
      </c>
      <c r="N518" s="9">
        <f t="shared" si="17"/>
        <v>148.76036400000001</v>
      </c>
    </row>
    <row r="519" spans="1:14" x14ac:dyDescent="0.35">
      <c r="A519" s="7" t="s">
        <v>602</v>
      </c>
      <c r="B519" s="8">
        <v>45846</v>
      </c>
      <c r="C519" s="7" t="s">
        <v>52</v>
      </c>
      <c r="D519" s="7" t="s">
        <v>69</v>
      </c>
      <c r="E519" s="7" t="s">
        <v>119</v>
      </c>
      <c r="F519" s="7" t="s">
        <v>48</v>
      </c>
      <c r="G519" s="7" t="s">
        <v>49</v>
      </c>
      <c r="H519" s="7" t="s">
        <v>71</v>
      </c>
      <c r="I519" s="7">
        <v>3</v>
      </c>
      <c r="J519" s="9">
        <v>197.12</v>
      </c>
      <c r="K519" s="10">
        <v>6.0400000000000002E-2</v>
      </c>
      <c r="L519" s="9">
        <f t="shared" si="16"/>
        <v>555.64185599999996</v>
      </c>
      <c r="M519" s="9">
        <f>ROUND(L519*0.2214,2)</f>
        <v>123.02</v>
      </c>
      <c r="N519" s="9">
        <f t="shared" si="17"/>
        <v>432.62185599999998</v>
      </c>
    </row>
    <row r="520" spans="1:14" x14ac:dyDescent="0.35">
      <c r="A520" s="7" t="s">
        <v>603</v>
      </c>
      <c r="B520" s="8">
        <v>45846</v>
      </c>
      <c r="C520" s="7" t="s">
        <v>39</v>
      </c>
      <c r="D520" s="7" t="s">
        <v>40</v>
      </c>
      <c r="E520" s="7" t="s">
        <v>139</v>
      </c>
      <c r="F520" s="7" t="s">
        <v>48</v>
      </c>
      <c r="G520" s="7" t="s">
        <v>55</v>
      </c>
      <c r="H520" s="7" t="s">
        <v>108</v>
      </c>
      <c r="I520" s="7">
        <v>2</v>
      </c>
      <c r="J520" s="9">
        <v>336.52</v>
      </c>
      <c r="K520" s="10">
        <v>2.4899999999999999E-2</v>
      </c>
      <c r="L520" s="9">
        <f t="shared" si="16"/>
        <v>656.28130399999998</v>
      </c>
      <c r="M520" s="9">
        <f>ROUND(L520*0.6323,2)</f>
        <v>414.97</v>
      </c>
      <c r="N520" s="9">
        <f t="shared" si="17"/>
        <v>241.31130399999995</v>
      </c>
    </row>
    <row r="521" spans="1:14" x14ac:dyDescent="0.35">
      <c r="A521" s="7" t="s">
        <v>604</v>
      </c>
      <c r="B521" s="8">
        <v>45846</v>
      </c>
      <c r="C521" s="7" t="s">
        <v>76</v>
      </c>
      <c r="D521" s="7" t="s">
        <v>53</v>
      </c>
      <c r="E521" s="7" t="s">
        <v>81</v>
      </c>
      <c r="F521" s="7" t="s">
        <v>48</v>
      </c>
      <c r="G521" s="7" t="s">
        <v>55</v>
      </c>
      <c r="H521" s="7" t="s">
        <v>78</v>
      </c>
      <c r="I521" s="7">
        <v>3</v>
      </c>
      <c r="J521" s="9">
        <v>1060.32</v>
      </c>
      <c r="K521" s="10">
        <v>3.7400000000000003E-2</v>
      </c>
      <c r="L521" s="9">
        <f t="shared" si="16"/>
        <v>3061.9920959999999</v>
      </c>
      <c r="M521" s="9">
        <f>ROUND(L521*0.6892,2)</f>
        <v>2110.3200000000002</v>
      </c>
      <c r="N521" s="9">
        <f t="shared" si="17"/>
        <v>951.67209599999978</v>
      </c>
    </row>
    <row r="522" spans="1:14" x14ac:dyDescent="0.35">
      <c r="A522" s="7" t="s">
        <v>605</v>
      </c>
      <c r="B522" s="8">
        <v>45847</v>
      </c>
      <c r="C522" s="7" t="s">
        <v>52</v>
      </c>
      <c r="D522" s="7" t="s">
        <v>40</v>
      </c>
      <c r="E522" s="7" t="s">
        <v>62</v>
      </c>
      <c r="F522" s="7" t="s">
        <v>48</v>
      </c>
      <c r="G522" s="7" t="s">
        <v>55</v>
      </c>
      <c r="H522" s="7" t="s">
        <v>56</v>
      </c>
      <c r="I522" s="7">
        <v>1</v>
      </c>
      <c r="J522" s="9">
        <v>201.48</v>
      </c>
      <c r="K522" s="10">
        <v>4.2000000000000003E-2</v>
      </c>
      <c r="L522" s="9">
        <f t="shared" si="16"/>
        <v>193.01783999999998</v>
      </c>
      <c r="M522" s="9">
        <f>ROUND(L522*0.6599,2)</f>
        <v>127.37</v>
      </c>
      <c r="N522" s="9">
        <f t="shared" si="17"/>
        <v>65.647839999999974</v>
      </c>
    </row>
    <row r="523" spans="1:14" x14ac:dyDescent="0.35">
      <c r="A523" s="7" t="s">
        <v>606</v>
      </c>
      <c r="B523" s="8">
        <v>45847</v>
      </c>
      <c r="C523" s="7" t="s">
        <v>52</v>
      </c>
      <c r="D523" s="7" t="s">
        <v>40</v>
      </c>
      <c r="E523" s="7" t="s">
        <v>91</v>
      </c>
      <c r="F523" s="7" t="s">
        <v>59</v>
      </c>
      <c r="G523" s="7" t="s">
        <v>49</v>
      </c>
      <c r="H523" s="7" t="s">
        <v>71</v>
      </c>
      <c r="I523" s="7">
        <v>5</v>
      </c>
      <c r="J523" s="9">
        <v>128.96</v>
      </c>
      <c r="K523" s="10">
        <v>7.3999999999999996E-2</v>
      </c>
      <c r="L523" s="9">
        <f t="shared" si="16"/>
        <v>597.08480000000009</v>
      </c>
      <c r="M523" s="9">
        <f>ROUND(L523*0.6318,2)</f>
        <v>377.24</v>
      </c>
      <c r="N523" s="9">
        <f t="shared" si="17"/>
        <v>219.84480000000008</v>
      </c>
    </row>
    <row r="524" spans="1:14" x14ac:dyDescent="0.35">
      <c r="A524" s="7" t="s">
        <v>607</v>
      </c>
      <c r="B524" s="8">
        <v>45847</v>
      </c>
      <c r="C524" s="7" t="s">
        <v>39</v>
      </c>
      <c r="D524" s="7" t="s">
        <v>66</v>
      </c>
      <c r="E524" s="7" t="s">
        <v>77</v>
      </c>
      <c r="F524" s="7" t="s">
        <v>48</v>
      </c>
      <c r="G524" s="7" t="s">
        <v>55</v>
      </c>
      <c r="H524" s="7" t="s">
        <v>108</v>
      </c>
      <c r="I524" s="7">
        <v>3</v>
      </c>
      <c r="J524" s="9">
        <v>97.19</v>
      </c>
      <c r="K524" s="10">
        <v>1.18E-2</v>
      </c>
      <c r="L524" s="9">
        <f t="shared" si="16"/>
        <v>288.12947399999996</v>
      </c>
      <c r="M524" s="9">
        <f>ROUND(L524*0.5896,2)</f>
        <v>169.88</v>
      </c>
      <c r="N524" s="9">
        <f t="shared" si="17"/>
        <v>118.24947399999996</v>
      </c>
    </row>
    <row r="525" spans="1:14" x14ac:dyDescent="0.35">
      <c r="A525" s="7" t="s">
        <v>608</v>
      </c>
      <c r="B525" s="8">
        <v>45848</v>
      </c>
      <c r="C525" s="7" t="s">
        <v>39</v>
      </c>
      <c r="D525" s="7" t="s">
        <v>40</v>
      </c>
      <c r="E525" s="7" t="s">
        <v>62</v>
      </c>
      <c r="F525" s="7" t="s">
        <v>48</v>
      </c>
      <c r="G525" s="7" t="s">
        <v>55</v>
      </c>
      <c r="H525" s="7" t="s">
        <v>108</v>
      </c>
      <c r="I525" s="7">
        <v>1</v>
      </c>
      <c r="J525" s="9">
        <v>201.74</v>
      </c>
      <c r="K525" s="10">
        <v>5.1499999999999997E-2</v>
      </c>
      <c r="L525" s="9">
        <f t="shared" si="16"/>
        <v>191.35039</v>
      </c>
      <c r="M525" s="9">
        <f>ROUND(L525*0.6515,2)</f>
        <v>124.66</v>
      </c>
      <c r="N525" s="9">
        <f t="shared" si="17"/>
        <v>66.690390000000008</v>
      </c>
    </row>
    <row r="526" spans="1:14" x14ac:dyDescent="0.35">
      <c r="A526" s="7" t="s">
        <v>609</v>
      </c>
      <c r="B526" s="8">
        <v>45848</v>
      </c>
      <c r="C526" s="7" t="s">
        <v>46</v>
      </c>
      <c r="D526" s="7" t="s">
        <v>53</v>
      </c>
      <c r="E526" s="7" t="s">
        <v>105</v>
      </c>
      <c r="F526" s="7" t="s">
        <v>48</v>
      </c>
      <c r="G526" s="7" t="s">
        <v>55</v>
      </c>
      <c r="H526" s="7" t="s">
        <v>74</v>
      </c>
      <c r="I526" s="7">
        <v>1</v>
      </c>
      <c r="J526" s="9">
        <v>450.73</v>
      </c>
      <c r="K526" s="10">
        <v>5.2200000000000003E-2</v>
      </c>
      <c r="L526" s="9">
        <f t="shared" si="16"/>
        <v>427.20189399999998</v>
      </c>
      <c r="M526" s="9">
        <f>ROUND(L526*0.7329,2)</f>
        <v>313.10000000000002</v>
      </c>
      <c r="N526" s="9">
        <f t="shared" si="17"/>
        <v>114.10189399999996</v>
      </c>
    </row>
    <row r="527" spans="1:14" x14ac:dyDescent="0.35">
      <c r="A527" s="7" t="s">
        <v>610</v>
      </c>
      <c r="B527" s="8">
        <v>45848</v>
      </c>
      <c r="C527" s="7" t="s">
        <v>46</v>
      </c>
      <c r="D527" s="7" t="s">
        <v>69</v>
      </c>
      <c r="E527" s="7" t="s">
        <v>113</v>
      </c>
      <c r="F527" s="7" t="s">
        <v>42</v>
      </c>
      <c r="G527" s="7" t="s">
        <v>49</v>
      </c>
      <c r="H527" s="7" t="s">
        <v>50</v>
      </c>
      <c r="I527" s="7">
        <v>16</v>
      </c>
      <c r="J527" s="9">
        <v>250.43</v>
      </c>
      <c r="K527" s="10">
        <v>0.13950000000000001</v>
      </c>
      <c r="L527" s="9">
        <f t="shared" si="16"/>
        <v>3447.9202400000004</v>
      </c>
      <c r="M527" s="9">
        <f>ROUND(L527*0.2559,2)</f>
        <v>882.32</v>
      </c>
      <c r="N527" s="9">
        <f t="shared" si="17"/>
        <v>2565.6002400000002</v>
      </c>
    </row>
    <row r="528" spans="1:14" x14ac:dyDescent="0.35">
      <c r="A528" s="7" t="s">
        <v>611</v>
      </c>
      <c r="B528" s="8">
        <v>45849</v>
      </c>
      <c r="C528" s="7" t="s">
        <v>52</v>
      </c>
      <c r="D528" s="7" t="s">
        <v>53</v>
      </c>
      <c r="E528" s="7" t="s">
        <v>58</v>
      </c>
      <c r="F528" s="7" t="s">
        <v>59</v>
      </c>
      <c r="G528" s="7" t="s">
        <v>55</v>
      </c>
      <c r="H528" s="7" t="s">
        <v>56</v>
      </c>
      <c r="I528" s="7">
        <v>4</v>
      </c>
      <c r="J528" s="9">
        <v>685.21</v>
      </c>
      <c r="K528" s="10">
        <v>8.2100000000000006E-2</v>
      </c>
      <c r="L528" s="9">
        <f t="shared" si="16"/>
        <v>2515.8170359999999</v>
      </c>
      <c r="M528" s="9">
        <f>ROUND(L528*0.6919,2)</f>
        <v>1740.69</v>
      </c>
      <c r="N528" s="9">
        <f t="shared" si="17"/>
        <v>775.12703599999986</v>
      </c>
    </row>
    <row r="529" spans="1:14" x14ac:dyDescent="0.35">
      <c r="A529" s="7" t="s">
        <v>612</v>
      </c>
      <c r="B529" s="8">
        <v>45849</v>
      </c>
      <c r="C529" s="7" t="s">
        <v>39</v>
      </c>
      <c r="D529" s="7" t="s">
        <v>53</v>
      </c>
      <c r="E529" s="7" t="s">
        <v>58</v>
      </c>
      <c r="F529" s="7" t="s">
        <v>59</v>
      </c>
      <c r="G529" s="7" t="s">
        <v>49</v>
      </c>
      <c r="H529" s="7" t="s">
        <v>44</v>
      </c>
      <c r="I529" s="7">
        <v>8</v>
      </c>
      <c r="J529" s="9">
        <v>669.8</v>
      </c>
      <c r="K529" s="10">
        <v>0.1075</v>
      </c>
      <c r="L529" s="9">
        <f t="shared" si="16"/>
        <v>4782.3719999999994</v>
      </c>
      <c r="M529" s="9">
        <f>ROUND(L529*0.7156,2)</f>
        <v>3422.27</v>
      </c>
      <c r="N529" s="9">
        <f t="shared" si="17"/>
        <v>1360.1019999999994</v>
      </c>
    </row>
    <row r="530" spans="1:14" x14ac:dyDescent="0.35">
      <c r="A530" s="7" t="s">
        <v>613</v>
      </c>
      <c r="B530" s="8">
        <v>45849</v>
      </c>
      <c r="C530" s="7" t="s">
        <v>52</v>
      </c>
      <c r="D530" s="7" t="s">
        <v>69</v>
      </c>
      <c r="E530" s="7" t="s">
        <v>132</v>
      </c>
      <c r="F530" s="7" t="s">
        <v>59</v>
      </c>
      <c r="G530" s="7" t="s">
        <v>43</v>
      </c>
      <c r="H530" s="7" t="s">
        <v>71</v>
      </c>
      <c r="I530" s="7">
        <v>4</v>
      </c>
      <c r="J530" s="9">
        <v>78.010000000000005</v>
      </c>
      <c r="K530" s="10">
        <v>0.1416</v>
      </c>
      <c r="L530" s="9">
        <f t="shared" si="16"/>
        <v>267.85513600000002</v>
      </c>
      <c r="M530" s="9">
        <f>ROUND(L530*0.2538,2)</f>
        <v>67.98</v>
      </c>
      <c r="N530" s="9">
        <f t="shared" si="17"/>
        <v>199.875136</v>
      </c>
    </row>
    <row r="531" spans="1:14" x14ac:dyDescent="0.35">
      <c r="A531" s="7" t="s">
        <v>614</v>
      </c>
      <c r="B531" s="8">
        <v>45850</v>
      </c>
      <c r="C531" s="7" t="s">
        <v>52</v>
      </c>
      <c r="D531" s="7" t="s">
        <v>66</v>
      </c>
      <c r="E531" s="7" t="s">
        <v>67</v>
      </c>
      <c r="F531" s="7" t="s">
        <v>48</v>
      </c>
      <c r="G531" s="7" t="s">
        <v>49</v>
      </c>
      <c r="H531" s="7" t="s">
        <v>71</v>
      </c>
      <c r="I531" s="7">
        <v>1</v>
      </c>
      <c r="J531" s="9">
        <v>87.2</v>
      </c>
      <c r="K531" s="10">
        <v>3.9E-2</v>
      </c>
      <c r="L531" s="9">
        <f t="shared" si="16"/>
        <v>83.799199999999999</v>
      </c>
      <c r="M531" s="9">
        <f>ROUND(L531*0.6034,2)</f>
        <v>50.56</v>
      </c>
      <c r="N531" s="9">
        <f t="shared" si="17"/>
        <v>33.239199999999997</v>
      </c>
    </row>
    <row r="532" spans="1:14" x14ac:dyDescent="0.35">
      <c r="A532" s="7" t="s">
        <v>615</v>
      </c>
      <c r="B532" s="8">
        <v>45850</v>
      </c>
      <c r="C532" s="7" t="s">
        <v>46</v>
      </c>
      <c r="D532" s="7" t="s">
        <v>40</v>
      </c>
      <c r="E532" s="7" t="s">
        <v>47</v>
      </c>
      <c r="F532" s="7" t="s">
        <v>42</v>
      </c>
      <c r="G532" s="7" t="s">
        <v>49</v>
      </c>
      <c r="H532" s="7" t="s">
        <v>50</v>
      </c>
      <c r="I532" s="7">
        <v>15</v>
      </c>
      <c r="J532" s="9">
        <v>238.65</v>
      </c>
      <c r="K532" s="10">
        <v>0.14369999999999999</v>
      </c>
      <c r="L532" s="9">
        <f t="shared" si="16"/>
        <v>3065.3399250000002</v>
      </c>
      <c r="M532" s="9">
        <f>ROUND(L532*0.6463,2)</f>
        <v>1981.13</v>
      </c>
      <c r="N532" s="9">
        <f t="shared" si="17"/>
        <v>1084.2099250000001</v>
      </c>
    </row>
    <row r="533" spans="1:14" x14ac:dyDescent="0.35">
      <c r="A533" s="7" t="s">
        <v>616</v>
      </c>
      <c r="B533" s="8">
        <v>45851</v>
      </c>
      <c r="C533" s="7" t="s">
        <v>52</v>
      </c>
      <c r="D533" s="7" t="s">
        <v>66</v>
      </c>
      <c r="E533" s="7" t="s">
        <v>67</v>
      </c>
      <c r="F533" s="7" t="s">
        <v>59</v>
      </c>
      <c r="G533" s="7" t="s">
        <v>49</v>
      </c>
      <c r="H533" s="7" t="s">
        <v>71</v>
      </c>
      <c r="I533" s="7">
        <v>9</v>
      </c>
      <c r="J533" s="9">
        <v>84.54</v>
      </c>
      <c r="K533" s="10">
        <v>8.0199999999999994E-2</v>
      </c>
      <c r="L533" s="9">
        <f t="shared" si="16"/>
        <v>699.83902799999998</v>
      </c>
      <c r="M533" s="9">
        <f>ROUND(L533*0.6082,2)</f>
        <v>425.64</v>
      </c>
      <c r="N533" s="9">
        <f t="shared" si="17"/>
        <v>274.199028</v>
      </c>
    </row>
    <row r="534" spans="1:14" x14ac:dyDescent="0.35">
      <c r="A534" s="7" t="s">
        <v>617</v>
      </c>
      <c r="B534" s="8">
        <v>45852</v>
      </c>
      <c r="C534" s="7" t="s">
        <v>52</v>
      </c>
      <c r="D534" s="7" t="s">
        <v>69</v>
      </c>
      <c r="E534" s="7" t="s">
        <v>119</v>
      </c>
      <c r="F534" s="7" t="s">
        <v>48</v>
      </c>
      <c r="G534" s="7" t="s">
        <v>55</v>
      </c>
      <c r="H534" s="7" t="s">
        <v>56</v>
      </c>
      <c r="I534" s="7">
        <v>2</v>
      </c>
      <c r="J534" s="9">
        <v>194.55</v>
      </c>
      <c r="K534" s="10">
        <v>4.7100000000000003E-2</v>
      </c>
      <c r="L534" s="9">
        <f t="shared" si="16"/>
        <v>370.77339000000001</v>
      </c>
      <c r="M534" s="9">
        <f>ROUND(L534*0.2475,2)</f>
        <v>91.77</v>
      </c>
      <c r="N534" s="9">
        <f t="shared" si="17"/>
        <v>279.00339000000002</v>
      </c>
    </row>
    <row r="535" spans="1:14" x14ac:dyDescent="0.35">
      <c r="A535" s="7" t="s">
        <v>618</v>
      </c>
      <c r="B535" s="8">
        <v>45852</v>
      </c>
      <c r="C535" s="7" t="s">
        <v>39</v>
      </c>
      <c r="D535" s="7" t="s">
        <v>69</v>
      </c>
      <c r="E535" s="7" t="s">
        <v>119</v>
      </c>
      <c r="F535" s="7" t="s">
        <v>48</v>
      </c>
      <c r="G535" s="7" t="s">
        <v>55</v>
      </c>
      <c r="H535" s="7" t="s">
        <v>108</v>
      </c>
      <c r="I535" s="7">
        <v>3</v>
      </c>
      <c r="J535" s="9">
        <v>195.47</v>
      </c>
      <c r="K535" s="10">
        <v>6.9999999999999999E-4</v>
      </c>
      <c r="L535" s="9">
        <f t="shared" si="16"/>
        <v>585.99951299999998</v>
      </c>
      <c r="M535" s="9">
        <f>ROUND(L535*0.2592,2)</f>
        <v>151.88999999999999</v>
      </c>
      <c r="N535" s="9">
        <f t="shared" si="17"/>
        <v>434.10951299999999</v>
      </c>
    </row>
    <row r="536" spans="1:14" x14ac:dyDescent="0.35">
      <c r="A536" s="7" t="s">
        <v>619</v>
      </c>
      <c r="B536" s="8">
        <v>45852</v>
      </c>
      <c r="C536" s="7" t="s">
        <v>52</v>
      </c>
      <c r="D536" s="7" t="s">
        <v>53</v>
      </c>
      <c r="E536" s="7" t="s">
        <v>87</v>
      </c>
      <c r="F536" s="7" t="s">
        <v>48</v>
      </c>
      <c r="G536" s="7" t="s">
        <v>55</v>
      </c>
      <c r="H536" s="7" t="s">
        <v>56</v>
      </c>
      <c r="I536" s="7">
        <v>3</v>
      </c>
      <c r="J536" s="9">
        <v>885.54</v>
      </c>
      <c r="K536" s="10">
        <v>4.3799999999999999E-2</v>
      </c>
      <c r="L536" s="9">
        <f t="shared" si="16"/>
        <v>2540.2600440000001</v>
      </c>
      <c r="M536" s="9">
        <f>ROUND(L536*0.7245,2)</f>
        <v>1840.42</v>
      </c>
      <c r="N536" s="9">
        <f t="shared" si="17"/>
        <v>699.84004400000003</v>
      </c>
    </row>
    <row r="537" spans="1:14" x14ac:dyDescent="0.35">
      <c r="A537" s="7" t="s">
        <v>620</v>
      </c>
      <c r="B537" s="8">
        <v>45853</v>
      </c>
      <c r="C537" s="7" t="s">
        <v>76</v>
      </c>
      <c r="D537" s="7" t="s">
        <v>53</v>
      </c>
      <c r="E537" s="7" t="s">
        <v>81</v>
      </c>
      <c r="F537" s="7" t="s">
        <v>48</v>
      </c>
      <c r="G537" s="7" t="s">
        <v>55</v>
      </c>
      <c r="H537" s="7" t="s">
        <v>78</v>
      </c>
      <c r="I537" s="7">
        <v>1</v>
      </c>
      <c r="J537" s="9">
        <v>1118.4100000000001</v>
      </c>
      <c r="K537" s="10">
        <v>3.3700000000000001E-2</v>
      </c>
      <c r="L537" s="9">
        <f t="shared" si="16"/>
        <v>1080.7195830000001</v>
      </c>
      <c r="M537" s="9">
        <f>ROUND(L537*0.7133,2)</f>
        <v>770.88</v>
      </c>
      <c r="N537" s="9">
        <f t="shared" si="17"/>
        <v>309.83958300000006</v>
      </c>
    </row>
    <row r="538" spans="1:14" x14ac:dyDescent="0.35">
      <c r="A538" s="7" t="s">
        <v>621</v>
      </c>
      <c r="B538" s="8">
        <v>45853</v>
      </c>
      <c r="C538" s="7" t="s">
        <v>52</v>
      </c>
      <c r="D538" s="7" t="s">
        <v>53</v>
      </c>
      <c r="E538" s="7" t="s">
        <v>58</v>
      </c>
      <c r="F538" s="7" t="s">
        <v>48</v>
      </c>
      <c r="G538" s="7" t="s">
        <v>49</v>
      </c>
      <c r="H538" s="7" t="s">
        <v>71</v>
      </c>
      <c r="I538" s="7">
        <v>3</v>
      </c>
      <c r="J538" s="9">
        <v>684.11</v>
      </c>
      <c r="K538" s="10">
        <v>8.1100000000000005E-2</v>
      </c>
      <c r="L538" s="9">
        <f t="shared" si="16"/>
        <v>1885.886037</v>
      </c>
      <c r="M538" s="9">
        <f>ROUND(L538*0.713,2)</f>
        <v>1344.64</v>
      </c>
      <c r="N538" s="9">
        <f t="shared" si="17"/>
        <v>541.24603699999989</v>
      </c>
    </row>
    <row r="539" spans="1:14" x14ac:dyDescent="0.35">
      <c r="A539" s="7" t="s">
        <v>622</v>
      </c>
      <c r="B539" s="8">
        <v>45853</v>
      </c>
      <c r="C539" s="7" t="s">
        <v>76</v>
      </c>
      <c r="D539" s="7" t="s">
        <v>69</v>
      </c>
      <c r="E539" s="7" t="s">
        <v>132</v>
      </c>
      <c r="F539" s="7" t="s">
        <v>59</v>
      </c>
      <c r="G539" s="7" t="s">
        <v>49</v>
      </c>
      <c r="H539" s="7" t="s">
        <v>151</v>
      </c>
      <c r="I539" s="7">
        <v>6</v>
      </c>
      <c r="J539" s="9">
        <v>74.22</v>
      </c>
      <c r="K539" s="10">
        <v>9.7699999999999995E-2</v>
      </c>
      <c r="L539" s="9">
        <f t="shared" si="16"/>
        <v>401.81223599999998</v>
      </c>
      <c r="M539" s="9">
        <f>ROUND(L539*0.2557,2)</f>
        <v>102.74</v>
      </c>
      <c r="N539" s="9">
        <f t="shared" si="17"/>
        <v>299.07223599999998</v>
      </c>
    </row>
    <row r="540" spans="1:14" x14ac:dyDescent="0.35">
      <c r="A540" s="7" t="s">
        <v>623</v>
      </c>
      <c r="B540" s="8">
        <v>45853</v>
      </c>
      <c r="C540" s="7" t="s">
        <v>76</v>
      </c>
      <c r="D540" s="7" t="s">
        <v>66</v>
      </c>
      <c r="E540" s="7" t="s">
        <v>77</v>
      </c>
      <c r="F540" s="7" t="s">
        <v>59</v>
      </c>
      <c r="G540" s="7" t="s">
        <v>43</v>
      </c>
      <c r="H540" s="7" t="s">
        <v>151</v>
      </c>
      <c r="I540" s="7">
        <v>8</v>
      </c>
      <c r="J540" s="9">
        <v>99.3</v>
      </c>
      <c r="K540" s="10">
        <v>0.14030000000000001</v>
      </c>
      <c r="L540" s="9">
        <f t="shared" si="16"/>
        <v>682.94568000000004</v>
      </c>
      <c r="M540" s="9">
        <f>ROUND(L540*0.587,2)</f>
        <v>400.89</v>
      </c>
      <c r="N540" s="9">
        <f t="shared" si="17"/>
        <v>282.05568000000005</v>
      </c>
    </row>
    <row r="541" spans="1:14" x14ac:dyDescent="0.35">
      <c r="A541" s="7" t="s">
        <v>624</v>
      </c>
      <c r="B541" s="8">
        <v>45853</v>
      </c>
      <c r="C541" s="7" t="s">
        <v>76</v>
      </c>
      <c r="D541" s="7" t="s">
        <v>53</v>
      </c>
      <c r="E541" s="7" t="s">
        <v>81</v>
      </c>
      <c r="F541" s="7" t="s">
        <v>48</v>
      </c>
      <c r="G541" s="7" t="s">
        <v>55</v>
      </c>
      <c r="H541" s="7" t="s">
        <v>78</v>
      </c>
      <c r="I541" s="7">
        <v>1</v>
      </c>
      <c r="J541" s="9">
        <v>1118.2</v>
      </c>
      <c r="K541" s="10">
        <v>3.9100000000000003E-2</v>
      </c>
      <c r="L541" s="9">
        <f t="shared" si="16"/>
        <v>1074.47838</v>
      </c>
      <c r="M541" s="9">
        <f>ROUND(L541*0.6868,2)</f>
        <v>737.95</v>
      </c>
      <c r="N541" s="9">
        <f t="shared" si="17"/>
        <v>336.52837999999997</v>
      </c>
    </row>
    <row r="542" spans="1:14" x14ac:dyDescent="0.35">
      <c r="A542" s="7" t="s">
        <v>625</v>
      </c>
      <c r="B542" s="8">
        <v>45853</v>
      </c>
      <c r="C542" s="7" t="s">
        <v>52</v>
      </c>
      <c r="D542" s="7" t="s">
        <v>69</v>
      </c>
      <c r="E542" s="7" t="s">
        <v>70</v>
      </c>
      <c r="F542" s="7" t="s">
        <v>48</v>
      </c>
      <c r="G542" s="7" t="s">
        <v>55</v>
      </c>
      <c r="H542" s="7" t="s">
        <v>56</v>
      </c>
      <c r="I542" s="7">
        <v>1</v>
      </c>
      <c r="J542" s="9">
        <v>148.08000000000001</v>
      </c>
      <c r="K542" s="10">
        <v>3.7900000000000003E-2</v>
      </c>
      <c r="L542" s="9">
        <f t="shared" si="16"/>
        <v>142.46776800000001</v>
      </c>
      <c r="M542" s="9">
        <f>ROUND(L542*0.2133,2)</f>
        <v>30.39</v>
      </c>
      <c r="N542" s="9">
        <f t="shared" si="17"/>
        <v>112.07776800000001</v>
      </c>
    </row>
    <row r="543" spans="1:14" x14ac:dyDescent="0.35">
      <c r="A543" s="7" t="s">
        <v>626</v>
      </c>
      <c r="B543" s="8">
        <v>45854</v>
      </c>
      <c r="C543" s="7" t="s">
        <v>76</v>
      </c>
      <c r="D543" s="7" t="s">
        <v>40</v>
      </c>
      <c r="E543" s="7" t="s">
        <v>139</v>
      </c>
      <c r="F543" s="7" t="s">
        <v>48</v>
      </c>
      <c r="G543" s="7" t="s">
        <v>55</v>
      </c>
      <c r="H543" s="7" t="s">
        <v>78</v>
      </c>
      <c r="I543" s="7">
        <v>3</v>
      </c>
      <c r="J543" s="9">
        <v>322.32</v>
      </c>
      <c r="K543" s="10">
        <v>2.4E-2</v>
      </c>
      <c r="L543" s="9">
        <f t="shared" si="16"/>
        <v>943.75296000000003</v>
      </c>
      <c r="M543" s="9">
        <f>ROUND(L543*0.6566,2)</f>
        <v>619.66999999999996</v>
      </c>
      <c r="N543" s="9">
        <f t="shared" si="17"/>
        <v>324.08296000000007</v>
      </c>
    </row>
    <row r="544" spans="1:14" x14ac:dyDescent="0.35">
      <c r="A544" s="7" t="s">
        <v>627</v>
      </c>
      <c r="B544" s="8">
        <v>45855</v>
      </c>
      <c r="C544" s="7" t="s">
        <v>52</v>
      </c>
      <c r="D544" s="7" t="s">
        <v>66</v>
      </c>
      <c r="E544" s="7" t="s">
        <v>73</v>
      </c>
      <c r="F544" s="7" t="s">
        <v>42</v>
      </c>
      <c r="G544" s="7" t="s">
        <v>43</v>
      </c>
      <c r="H544" s="7" t="s">
        <v>71</v>
      </c>
      <c r="I544" s="7">
        <v>26</v>
      </c>
      <c r="J544" s="9">
        <v>38.67</v>
      </c>
      <c r="K544" s="10">
        <v>0.21279999999999999</v>
      </c>
      <c r="L544" s="9">
        <f t="shared" si="16"/>
        <v>791.46662400000002</v>
      </c>
      <c r="M544" s="9">
        <f>ROUND(L544*0.5661,2)</f>
        <v>448.05</v>
      </c>
      <c r="N544" s="9">
        <f t="shared" si="17"/>
        <v>343.41662400000001</v>
      </c>
    </row>
    <row r="545" spans="1:14" x14ac:dyDescent="0.35">
      <c r="A545" s="7" t="s">
        <v>628</v>
      </c>
      <c r="B545" s="8">
        <v>45855</v>
      </c>
      <c r="C545" s="7" t="s">
        <v>46</v>
      </c>
      <c r="D545" s="7" t="s">
        <v>53</v>
      </c>
      <c r="E545" s="7" t="s">
        <v>105</v>
      </c>
      <c r="F545" s="7" t="s">
        <v>48</v>
      </c>
      <c r="G545" s="7" t="s">
        <v>55</v>
      </c>
      <c r="H545" s="7" t="s">
        <v>74</v>
      </c>
      <c r="I545" s="7">
        <v>1</v>
      </c>
      <c r="J545" s="9">
        <v>465.54</v>
      </c>
      <c r="K545" s="10">
        <v>3.8699999999999998E-2</v>
      </c>
      <c r="L545" s="9">
        <f t="shared" si="16"/>
        <v>447.52360200000004</v>
      </c>
      <c r="M545" s="9">
        <f>ROUND(L545*0.7235,2)</f>
        <v>323.77999999999997</v>
      </c>
      <c r="N545" s="9">
        <f t="shared" si="17"/>
        <v>123.74360200000007</v>
      </c>
    </row>
    <row r="546" spans="1:14" x14ac:dyDescent="0.35">
      <c r="A546" s="7" t="s">
        <v>629</v>
      </c>
      <c r="B546" s="8">
        <v>45855</v>
      </c>
      <c r="C546" s="7" t="s">
        <v>52</v>
      </c>
      <c r="D546" s="7" t="s">
        <v>66</v>
      </c>
      <c r="E546" s="7" t="s">
        <v>77</v>
      </c>
      <c r="F546" s="7" t="s">
        <v>42</v>
      </c>
      <c r="G546" s="7" t="s">
        <v>43</v>
      </c>
      <c r="H546" s="7" t="s">
        <v>64</v>
      </c>
      <c r="I546" s="7">
        <v>18</v>
      </c>
      <c r="J546" s="9">
        <v>95.6</v>
      </c>
      <c r="K546" s="10">
        <v>0.16569999999999999</v>
      </c>
      <c r="L546" s="9">
        <f t="shared" si="16"/>
        <v>1435.66344</v>
      </c>
      <c r="M546" s="9">
        <f>ROUND(L546*0.6069,2)</f>
        <v>871.3</v>
      </c>
      <c r="N546" s="9">
        <f t="shared" si="17"/>
        <v>564.36344000000008</v>
      </c>
    </row>
    <row r="547" spans="1:14" x14ac:dyDescent="0.35">
      <c r="A547" s="7" t="s">
        <v>630</v>
      </c>
      <c r="B547" s="8">
        <v>45855</v>
      </c>
      <c r="C547" s="7" t="s">
        <v>76</v>
      </c>
      <c r="D547" s="7" t="s">
        <v>53</v>
      </c>
      <c r="E547" s="7" t="s">
        <v>87</v>
      </c>
      <c r="F547" s="7" t="s">
        <v>42</v>
      </c>
      <c r="G547" s="7" t="s">
        <v>43</v>
      </c>
      <c r="H547" s="7" t="s">
        <v>110</v>
      </c>
      <c r="I547" s="7">
        <v>40</v>
      </c>
      <c r="J547" s="9">
        <v>853.76</v>
      </c>
      <c r="K547" s="10">
        <v>0.22539999999999999</v>
      </c>
      <c r="L547" s="9">
        <f t="shared" si="16"/>
        <v>26452.899839999998</v>
      </c>
      <c r="M547" s="9">
        <f>ROUND(L547*0.7363,2)</f>
        <v>19477.27</v>
      </c>
      <c r="N547" s="9">
        <f t="shared" si="17"/>
        <v>6975.6298399999978</v>
      </c>
    </row>
    <row r="548" spans="1:14" x14ac:dyDescent="0.35">
      <c r="A548" s="7" t="s">
        <v>631</v>
      </c>
      <c r="B548" s="8">
        <v>45855</v>
      </c>
      <c r="C548" s="7" t="s">
        <v>76</v>
      </c>
      <c r="D548" s="7" t="s">
        <v>69</v>
      </c>
      <c r="E548" s="7" t="s">
        <v>132</v>
      </c>
      <c r="F548" s="7" t="s">
        <v>42</v>
      </c>
      <c r="G548" s="7" t="s">
        <v>43</v>
      </c>
      <c r="H548" s="7" t="s">
        <v>110</v>
      </c>
      <c r="I548" s="7">
        <v>32</v>
      </c>
      <c r="J548" s="9">
        <v>77.37</v>
      </c>
      <c r="K548" s="10">
        <v>0.16320000000000001</v>
      </c>
      <c r="L548" s="9">
        <f t="shared" si="16"/>
        <v>2071.7829120000001</v>
      </c>
      <c r="M548" s="9">
        <f>ROUND(L548*0.2216,2)</f>
        <v>459.11</v>
      </c>
      <c r="N548" s="9">
        <f t="shared" si="17"/>
        <v>1612.672912</v>
      </c>
    </row>
    <row r="549" spans="1:14" x14ac:dyDescent="0.35">
      <c r="A549" s="7" t="s">
        <v>632</v>
      </c>
      <c r="B549" s="8">
        <v>45856</v>
      </c>
      <c r="C549" s="7" t="s">
        <v>39</v>
      </c>
      <c r="D549" s="7" t="s">
        <v>53</v>
      </c>
      <c r="E549" s="7" t="s">
        <v>87</v>
      </c>
      <c r="F549" s="7" t="s">
        <v>59</v>
      </c>
      <c r="G549" s="7" t="s">
        <v>43</v>
      </c>
      <c r="H549" s="7" t="s">
        <v>44</v>
      </c>
      <c r="I549" s="7">
        <v>10</v>
      </c>
      <c r="J549" s="9">
        <v>897.46</v>
      </c>
      <c r="K549" s="10">
        <v>0.1216</v>
      </c>
      <c r="L549" s="9">
        <f t="shared" si="16"/>
        <v>7883.2886399999998</v>
      </c>
      <c r="M549" s="9">
        <f>ROUND(L549*0.7027,2)</f>
        <v>5539.59</v>
      </c>
      <c r="N549" s="9">
        <f t="shared" si="17"/>
        <v>2343.6986399999996</v>
      </c>
    </row>
    <row r="550" spans="1:14" x14ac:dyDescent="0.35">
      <c r="A550" s="7" t="s">
        <v>633</v>
      </c>
      <c r="B550" s="8">
        <v>45856</v>
      </c>
      <c r="C550" s="7" t="s">
        <v>76</v>
      </c>
      <c r="D550" s="7" t="s">
        <v>66</v>
      </c>
      <c r="E550" s="7" t="s">
        <v>73</v>
      </c>
      <c r="F550" s="7" t="s">
        <v>48</v>
      </c>
      <c r="G550" s="7" t="s">
        <v>55</v>
      </c>
      <c r="H550" s="7" t="s">
        <v>78</v>
      </c>
      <c r="I550" s="7">
        <v>3</v>
      </c>
      <c r="J550" s="9">
        <v>40.4</v>
      </c>
      <c r="K550" s="10">
        <v>7.9000000000000001E-2</v>
      </c>
      <c r="L550" s="9">
        <f t="shared" si="16"/>
        <v>111.62519999999999</v>
      </c>
      <c r="M550" s="9">
        <f>ROUND(L550*0.5835,2)</f>
        <v>65.13</v>
      </c>
      <c r="N550" s="9">
        <f t="shared" si="17"/>
        <v>46.495199999999997</v>
      </c>
    </row>
    <row r="551" spans="1:14" x14ac:dyDescent="0.35">
      <c r="A551" s="7" t="s">
        <v>634</v>
      </c>
      <c r="B551" s="8">
        <v>45856</v>
      </c>
      <c r="C551" s="7" t="s">
        <v>76</v>
      </c>
      <c r="D551" s="7" t="s">
        <v>53</v>
      </c>
      <c r="E551" s="7" t="s">
        <v>81</v>
      </c>
      <c r="F551" s="7" t="s">
        <v>48</v>
      </c>
      <c r="G551" s="7" t="s">
        <v>55</v>
      </c>
      <c r="H551" s="7" t="s">
        <v>78</v>
      </c>
      <c r="I551" s="7">
        <v>3</v>
      </c>
      <c r="J551" s="9">
        <v>1093.28</v>
      </c>
      <c r="K551" s="10">
        <v>3.5299999999999998E-2</v>
      </c>
      <c r="L551" s="9">
        <f t="shared" si="16"/>
        <v>3164.0616480000003</v>
      </c>
      <c r="M551" s="9">
        <f>ROUND(L551*0.712,2)</f>
        <v>2252.81</v>
      </c>
      <c r="N551" s="9">
        <f t="shared" si="17"/>
        <v>911.25164800000039</v>
      </c>
    </row>
    <row r="552" spans="1:14" x14ac:dyDescent="0.35">
      <c r="A552" s="7" t="s">
        <v>635</v>
      </c>
      <c r="B552" s="8">
        <v>45856</v>
      </c>
      <c r="C552" s="7" t="s">
        <v>46</v>
      </c>
      <c r="D552" s="7" t="s">
        <v>66</v>
      </c>
      <c r="E552" s="7" t="s">
        <v>98</v>
      </c>
      <c r="F552" s="7" t="s">
        <v>48</v>
      </c>
      <c r="G552" s="7" t="s">
        <v>55</v>
      </c>
      <c r="H552" s="7" t="s">
        <v>74</v>
      </c>
      <c r="I552" s="7">
        <v>3</v>
      </c>
      <c r="J552" s="9">
        <v>28.14</v>
      </c>
      <c r="K552" s="10">
        <v>5.0200000000000002E-2</v>
      </c>
      <c r="L552" s="9">
        <f t="shared" si="16"/>
        <v>80.182115999999994</v>
      </c>
      <c r="M552" s="9">
        <f>ROUND(L552*0.5836,2)</f>
        <v>46.79</v>
      </c>
      <c r="N552" s="9">
        <f t="shared" si="17"/>
        <v>33.392115999999994</v>
      </c>
    </row>
    <row r="553" spans="1:14" x14ac:dyDescent="0.35">
      <c r="A553" s="7" t="s">
        <v>636</v>
      </c>
      <c r="B553" s="8">
        <v>45856</v>
      </c>
      <c r="C553" s="7" t="s">
        <v>46</v>
      </c>
      <c r="D553" s="7" t="s">
        <v>66</v>
      </c>
      <c r="E553" s="7" t="s">
        <v>98</v>
      </c>
      <c r="F553" s="7" t="s">
        <v>59</v>
      </c>
      <c r="G553" s="7" t="s">
        <v>55</v>
      </c>
      <c r="H553" s="7" t="s">
        <v>74</v>
      </c>
      <c r="I553" s="7">
        <v>5</v>
      </c>
      <c r="J553" s="9">
        <v>28</v>
      </c>
      <c r="K553" s="10">
        <v>5.4800000000000001E-2</v>
      </c>
      <c r="L553" s="9">
        <f t="shared" si="16"/>
        <v>132.328</v>
      </c>
      <c r="M553" s="9">
        <f>ROUND(L553*0.5677,2)</f>
        <v>75.12</v>
      </c>
      <c r="N553" s="9">
        <f t="shared" si="17"/>
        <v>57.207999999999998</v>
      </c>
    </row>
    <row r="554" spans="1:14" x14ac:dyDescent="0.35">
      <c r="A554" s="7" t="s">
        <v>637</v>
      </c>
      <c r="B554" s="8">
        <v>45857</v>
      </c>
      <c r="C554" s="7" t="s">
        <v>39</v>
      </c>
      <c r="D554" s="7" t="s">
        <v>66</v>
      </c>
      <c r="E554" s="7" t="s">
        <v>77</v>
      </c>
      <c r="F554" s="7" t="s">
        <v>59</v>
      </c>
      <c r="G554" s="7" t="s">
        <v>55</v>
      </c>
      <c r="H554" s="7" t="s">
        <v>108</v>
      </c>
      <c r="I554" s="7">
        <v>10</v>
      </c>
      <c r="J554" s="9">
        <v>100.49</v>
      </c>
      <c r="K554" s="10">
        <v>5.1299999999999998E-2</v>
      </c>
      <c r="L554" s="9">
        <f t="shared" si="16"/>
        <v>953.34862999999996</v>
      </c>
      <c r="M554" s="9">
        <f>ROUND(L554*0.5962,2)</f>
        <v>568.39</v>
      </c>
      <c r="N554" s="9">
        <f t="shared" si="17"/>
        <v>384.95862999999997</v>
      </c>
    </row>
    <row r="555" spans="1:14" x14ac:dyDescent="0.35">
      <c r="A555" s="7" t="s">
        <v>638</v>
      </c>
      <c r="B555" s="8">
        <v>45857</v>
      </c>
      <c r="C555" s="7" t="s">
        <v>39</v>
      </c>
      <c r="D555" s="7" t="s">
        <v>40</v>
      </c>
      <c r="E555" s="7" t="s">
        <v>41</v>
      </c>
      <c r="F555" s="7" t="s">
        <v>48</v>
      </c>
      <c r="G555" s="7" t="s">
        <v>55</v>
      </c>
      <c r="H555" s="7" t="s">
        <v>108</v>
      </c>
      <c r="I555" s="7">
        <v>3</v>
      </c>
      <c r="J555" s="9">
        <v>406.39</v>
      </c>
      <c r="K555" s="10">
        <v>4.9500000000000002E-2</v>
      </c>
      <c r="L555" s="9">
        <f t="shared" si="16"/>
        <v>1158.821085</v>
      </c>
      <c r="M555" s="9">
        <f>ROUND(L555*0.6367,2)</f>
        <v>737.82</v>
      </c>
      <c r="N555" s="9">
        <f t="shared" si="17"/>
        <v>421.00108499999999</v>
      </c>
    </row>
    <row r="556" spans="1:14" x14ac:dyDescent="0.35">
      <c r="A556" s="7" t="s">
        <v>639</v>
      </c>
      <c r="B556" s="8">
        <v>45857</v>
      </c>
      <c r="C556" s="7" t="s">
        <v>52</v>
      </c>
      <c r="D556" s="7" t="s">
        <v>69</v>
      </c>
      <c r="E556" s="7" t="s">
        <v>132</v>
      </c>
      <c r="F556" s="7" t="s">
        <v>59</v>
      </c>
      <c r="G556" s="7" t="s">
        <v>55</v>
      </c>
      <c r="H556" s="7" t="s">
        <v>56</v>
      </c>
      <c r="I556" s="7">
        <v>8</v>
      </c>
      <c r="J556" s="9">
        <v>81.400000000000006</v>
      </c>
      <c r="K556" s="10">
        <v>6.0299999999999999E-2</v>
      </c>
      <c r="L556" s="9">
        <f t="shared" si="16"/>
        <v>611.93263999999999</v>
      </c>
      <c r="M556" s="9">
        <f>ROUND(L556*0.2658,2)</f>
        <v>162.65</v>
      </c>
      <c r="N556" s="9">
        <f t="shared" si="17"/>
        <v>449.28264000000001</v>
      </c>
    </row>
    <row r="557" spans="1:14" x14ac:dyDescent="0.35">
      <c r="A557" s="7" t="s">
        <v>640</v>
      </c>
      <c r="B557" s="8">
        <v>45857</v>
      </c>
      <c r="C557" s="7" t="s">
        <v>39</v>
      </c>
      <c r="D557" s="7" t="s">
        <v>66</v>
      </c>
      <c r="E557" s="7" t="s">
        <v>73</v>
      </c>
      <c r="F557" s="7" t="s">
        <v>59</v>
      </c>
      <c r="G557" s="7" t="s">
        <v>49</v>
      </c>
      <c r="H557" s="7" t="s">
        <v>44</v>
      </c>
      <c r="I557" s="7">
        <v>8</v>
      </c>
      <c r="J557" s="9">
        <v>38.35</v>
      </c>
      <c r="K557" s="10">
        <v>0.1186</v>
      </c>
      <c r="L557" s="9">
        <f t="shared" si="16"/>
        <v>270.41352000000001</v>
      </c>
      <c r="M557" s="9">
        <f>ROUND(L557*0.5942,2)</f>
        <v>160.68</v>
      </c>
      <c r="N557" s="9">
        <f t="shared" si="17"/>
        <v>109.73352</v>
      </c>
    </row>
    <row r="558" spans="1:14" x14ac:dyDescent="0.35">
      <c r="A558" s="7" t="s">
        <v>641</v>
      </c>
      <c r="B558" s="8">
        <v>45858</v>
      </c>
      <c r="C558" s="7" t="s">
        <v>52</v>
      </c>
      <c r="D558" s="7" t="s">
        <v>66</v>
      </c>
      <c r="E558" s="7" t="s">
        <v>98</v>
      </c>
      <c r="F558" s="7" t="s">
        <v>59</v>
      </c>
      <c r="G558" s="7" t="s">
        <v>49</v>
      </c>
      <c r="H558" s="7" t="s">
        <v>71</v>
      </c>
      <c r="I558" s="7">
        <v>8</v>
      </c>
      <c r="J558" s="9">
        <v>29.1</v>
      </c>
      <c r="K558" s="10">
        <v>0.1027</v>
      </c>
      <c r="L558" s="9">
        <f t="shared" si="16"/>
        <v>208.89144000000002</v>
      </c>
      <c r="M558" s="9">
        <f>ROUND(L558*0.568,2)</f>
        <v>118.65</v>
      </c>
      <c r="N558" s="9">
        <f t="shared" si="17"/>
        <v>90.241440000000011</v>
      </c>
    </row>
    <row r="559" spans="1:14" x14ac:dyDescent="0.35">
      <c r="A559" s="7" t="s">
        <v>642</v>
      </c>
      <c r="B559" s="8">
        <v>45858</v>
      </c>
      <c r="C559" s="7" t="s">
        <v>52</v>
      </c>
      <c r="D559" s="7" t="s">
        <v>66</v>
      </c>
      <c r="E559" s="7" t="s">
        <v>77</v>
      </c>
      <c r="F559" s="7" t="s">
        <v>59</v>
      </c>
      <c r="G559" s="7" t="s">
        <v>49</v>
      </c>
      <c r="H559" s="7" t="s">
        <v>64</v>
      </c>
      <c r="I559" s="7">
        <v>4</v>
      </c>
      <c r="J559" s="9">
        <v>95.66</v>
      </c>
      <c r="K559" s="10">
        <v>7.22E-2</v>
      </c>
      <c r="L559" s="9">
        <f t="shared" si="16"/>
        <v>355.01339199999995</v>
      </c>
      <c r="M559" s="9">
        <f>ROUND(L559*0.5525,2)</f>
        <v>196.14</v>
      </c>
      <c r="N559" s="9">
        <f t="shared" si="17"/>
        <v>158.87339199999997</v>
      </c>
    </row>
    <row r="560" spans="1:14" x14ac:dyDescent="0.35">
      <c r="A560" s="7" t="s">
        <v>643</v>
      </c>
      <c r="B560" s="8">
        <v>45858</v>
      </c>
      <c r="C560" s="7" t="s">
        <v>76</v>
      </c>
      <c r="D560" s="7" t="s">
        <v>53</v>
      </c>
      <c r="E560" s="7" t="s">
        <v>58</v>
      </c>
      <c r="F560" s="7" t="s">
        <v>59</v>
      </c>
      <c r="G560" s="7" t="s">
        <v>49</v>
      </c>
      <c r="H560" s="7" t="s">
        <v>110</v>
      </c>
      <c r="I560" s="7">
        <v>3</v>
      </c>
      <c r="J560" s="9">
        <v>670.4</v>
      </c>
      <c r="K560" s="10">
        <v>0.1071</v>
      </c>
      <c r="L560" s="9">
        <f t="shared" si="16"/>
        <v>1795.8004799999999</v>
      </c>
      <c r="M560" s="9">
        <f>ROUND(L560*0.7086,2)</f>
        <v>1272.5</v>
      </c>
      <c r="N560" s="9">
        <f t="shared" si="17"/>
        <v>523.30047999999988</v>
      </c>
    </row>
    <row r="561" spans="1:14" x14ac:dyDescent="0.35">
      <c r="A561" s="7" t="s">
        <v>644</v>
      </c>
      <c r="B561" s="8">
        <v>45858</v>
      </c>
      <c r="C561" s="7" t="s">
        <v>46</v>
      </c>
      <c r="D561" s="7" t="s">
        <v>53</v>
      </c>
      <c r="E561" s="7" t="s">
        <v>54</v>
      </c>
      <c r="F561" s="7" t="s">
        <v>48</v>
      </c>
      <c r="G561" s="7" t="s">
        <v>49</v>
      </c>
      <c r="H561" s="7" t="s">
        <v>95</v>
      </c>
      <c r="I561" s="7">
        <v>1</v>
      </c>
      <c r="J561" s="9">
        <v>1243.52</v>
      </c>
      <c r="K561" s="10">
        <v>2.81E-2</v>
      </c>
      <c r="L561" s="9">
        <f t="shared" si="16"/>
        <v>1208.577088</v>
      </c>
      <c r="M561" s="9">
        <f>ROUND(L561*0.7247,2)</f>
        <v>875.86</v>
      </c>
      <c r="N561" s="9">
        <f t="shared" si="17"/>
        <v>332.71708799999999</v>
      </c>
    </row>
    <row r="562" spans="1:14" x14ac:dyDescent="0.35">
      <c r="A562" s="7" t="s">
        <v>645</v>
      </c>
      <c r="B562" s="8">
        <v>45858</v>
      </c>
      <c r="C562" s="7" t="s">
        <v>46</v>
      </c>
      <c r="D562" s="7" t="s">
        <v>66</v>
      </c>
      <c r="E562" s="7" t="s">
        <v>137</v>
      </c>
      <c r="F562" s="7" t="s">
        <v>48</v>
      </c>
      <c r="G562" s="7" t="s">
        <v>49</v>
      </c>
      <c r="H562" s="7" t="s">
        <v>95</v>
      </c>
      <c r="I562" s="7">
        <v>3</v>
      </c>
      <c r="J562" s="9">
        <v>154.49</v>
      </c>
      <c r="K562" s="10">
        <v>9.1700000000000004E-2</v>
      </c>
      <c r="L562" s="9">
        <f t="shared" si="16"/>
        <v>420.96980100000002</v>
      </c>
      <c r="M562" s="9">
        <f>ROUND(L562*0.56,2)</f>
        <v>235.74</v>
      </c>
      <c r="N562" s="9">
        <f t="shared" si="17"/>
        <v>185.22980100000001</v>
      </c>
    </row>
    <row r="563" spans="1:14" x14ac:dyDescent="0.35">
      <c r="A563" s="7" t="s">
        <v>646</v>
      </c>
      <c r="B563" s="8">
        <v>45858</v>
      </c>
      <c r="C563" s="7" t="s">
        <v>39</v>
      </c>
      <c r="D563" s="7" t="s">
        <v>53</v>
      </c>
      <c r="E563" s="7" t="s">
        <v>105</v>
      </c>
      <c r="F563" s="7" t="s">
        <v>59</v>
      </c>
      <c r="G563" s="7" t="s">
        <v>49</v>
      </c>
      <c r="H563" s="7" t="s">
        <v>60</v>
      </c>
      <c r="I563" s="7">
        <v>6</v>
      </c>
      <c r="J563" s="9">
        <v>429.03</v>
      </c>
      <c r="K563" s="10">
        <v>0.1171</v>
      </c>
      <c r="L563" s="9">
        <f t="shared" si="16"/>
        <v>2272.7435219999998</v>
      </c>
      <c r="M563" s="9">
        <f>ROUND(L563*0.7226,2)</f>
        <v>1642.28</v>
      </c>
      <c r="N563" s="9">
        <f t="shared" si="17"/>
        <v>630.46352199999978</v>
      </c>
    </row>
    <row r="564" spans="1:14" x14ac:dyDescent="0.35">
      <c r="A564" s="7" t="s">
        <v>647</v>
      </c>
      <c r="B564" s="8">
        <v>45858</v>
      </c>
      <c r="C564" s="7" t="s">
        <v>76</v>
      </c>
      <c r="D564" s="7" t="s">
        <v>69</v>
      </c>
      <c r="E564" s="7" t="s">
        <v>119</v>
      </c>
      <c r="F564" s="7" t="s">
        <v>59</v>
      </c>
      <c r="G564" s="7" t="s">
        <v>55</v>
      </c>
      <c r="H564" s="7" t="s">
        <v>78</v>
      </c>
      <c r="I564" s="7">
        <v>9</v>
      </c>
      <c r="J564" s="9">
        <v>194.06</v>
      </c>
      <c r="K564" s="10">
        <v>7.5800000000000006E-2</v>
      </c>
      <c r="L564" s="9">
        <f t="shared" si="16"/>
        <v>1614.152268</v>
      </c>
      <c r="M564" s="9">
        <f>ROUND(L564*0.2559,2)</f>
        <v>413.06</v>
      </c>
      <c r="N564" s="9">
        <f t="shared" si="17"/>
        <v>1201.0922680000001</v>
      </c>
    </row>
    <row r="565" spans="1:14" x14ac:dyDescent="0.35">
      <c r="A565" s="7" t="s">
        <v>648</v>
      </c>
      <c r="B565" s="8">
        <v>45860</v>
      </c>
      <c r="C565" s="7" t="s">
        <v>52</v>
      </c>
      <c r="D565" s="7" t="s">
        <v>66</v>
      </c>
      <c r="E565" s="7" t="s">
        <v>73</v>
      </c>
      <c r="F565" s="7" t="s">
        <v>59</v>
      </c>
      <c r="G565" s="7" t="s">
        <v>55</v>
      </c>
      <c r="H565" s="7" t="s">
        <v>56</v>
      </c>
      <c r="I565" s="7">
        <v>3</v>
      </c>
      <c r="J565" s="9">
        <v>38.200000000000003</v>
      </c>
      <c r="K565" s="10">
        <v>6.0699999999999997E-2</v>
      </c>
      <c r="L565" s="9">
        <f t="shared" si="16"/>
        <v>107.64378000000001</v>
      </c>
      <c r="M565" s="9">
        <f>ROUND(L565*0.5589,2)</f>
        <v>60.16</v>
      </c>
      <c r="N565" s="9">
        <f t="shared" si="17"/>
        <v>47.48378000000001</v>
      </c>
    </row>
    <row r="566" spans="1:14" x14ac:dyDescent="0.35">
      <c r="A566" s="7" t="s">
        <v>649</v>
      </c>
      <c r="B566" s="8">
        <v>45860</v>
      </c>
      <c r="C566" s="7" t="s">
        <v>52</v>
      </c>
      <c r="D566" s="7" t="s">
        <v>66</v>
      </c>
      <c r="E566" s="7" t="s">
        <v>67</v>
      </c>
      <c r="F566" s="7" t="s">
        <v>59</v>
      </c>
      <c r="G566" s="7" t="s">
        <v>55</v>
      </c>
      <c r="H566" s="7" t="s">
        <v>56</v>
      </c>
      <c r="I566" s="7">
        <v>7</v>
      </c>
      <c r="J566" s="9">
        <v>89.35</v>
      </c>
      <c r="K566" s="10">
        <v>7.5200000000000003E-2</v>
      </c>
      <c r="L566" s="9">
        <f t="shared" si="16"/>
        <v>578.41615999999988</v>
      </c>
      <c r="M566" s="9">
        <f>ROUND(L566*0.6069,2)</f>
        <v>351.04</v>
      </c>
      <c r="N566" s="9">
        <f t="shared" si="17"/>
        <v>227.37615999999986</v>
      </c>
    </row>
    <row r="567" spans="1:14" x14ac:dyDescent="0.35">
      <c r="A567" s="7" t="s">
        <v>650</v>
      </c>
      <c r="B567" s="8">
        <v>45861</v>
      </c>
      <c r="C567" s="7" t="s">
        <v>76</v>
      </c>
      <c r="D567" s="7" t="s">
        <v>69</v>
      </c>
      <c r="E567" s="7" t="s">
        <v>132</v>
      </c>
      <c r="F567" s="7" t="s">
        <v>42</v>
      </c>
      <c r="G567" s="7" t="s">
        <v>43</v>
      </c>
      <c r="H567" s="7" t="s">
        <v>110</v>
      </c>
      <c r="I567" s="7">
        <v>10</v>
      </c>
      <c r="J567" s="9">
        <v>77.17</v>
      </c>
      <c r="K567" s="10">
        <v>0.2235</v>
      </c>
      <c r="L567" s="9">
        <f t="shared" si="16"/>
        <v>599.22505000000001</v>
      </c>
      <c r="M567" s="9">
        <f>ROUND(L567*0.2259,2)</f>
        <v>135.36000000000001</v>
      </c>
      <c r="N567" s="9">
        <f t="shared" si="17"/>
        <v>463.86505</v>
      </c>
    </row>
    <row r="568" spans="1:14" x14ac:dyDescent="0.35">
      <c r="A568" s="7" t="s">
        <v>651</v>
      </c>
      <c r="B568" s="8">
        <v>45861</v>
      </c>
      <c r="C568" s="7" t="s">
        <v>46</v>
      </c>
      <c r="D568" s="7" t="s">
        <v>40</v>
      </c>
      <c r="E568" s="7" t="s">
        <v>62</v>
      </c>
      <c r="F568" s="7" t="s">
        <v>48</v>
      </c>
      <c r="G568" s="7" t="s">
        <v>49</v>
      </c>
      <c r="H568" s="7" t="s">
        <v>50</v>
      </c>
      <c r="I568" s="7">
        <v>2</v>
      </c>
      <c r="J568" s="9">
        <v>194.42</v>
      </c>
      <c r="K568" s="10">
        <v>6.3200000000000006E-2</v>
      </c>
      <c r="L568" s="9">
        <f t="shared" si="16"/>
        <v>364.26531199999994</v>
      </c>
      <c r="M568" s="9">
        <f>ROUND(L568*0.6221,2)</f>
        <v>226.61</v>
      </c>
      <c r="N568" s="9">
        <f t="shared" si="17"/>
        <v>137.65531199999992</v>
      </c>
    </row>
    <row r="569" spans="1:14" x14ac:dyDescent="0.35">
      <c r="A569" s="7" t="s">
        <v>652</v>
      </c>
      <c r="B569" s="8">
        <v>45861</v>
      </c>
      <c r="C569" s="7" t="s">
        <v>46</v>
      </c>
      <c r="D569" s="7" t="s">
        <v>53</v>
      </c>
      <c r="E569" s="7" t="s">
        <v>54</v>
      </c>
      <c r="F569" s="7" t="s">
        <v>48</v>
      </c>
      <c r="G569" s="7" t="s">
        <v>55</v>
      </c>
      <c r="H569" s="7" t="s">
        <v>74</v>
      </c>
      <c r="I569" s="7">
        <v>3</v>
      </c>
      <c r="J569" s="9">
        <v>1257.05</v>
      </c>
      <c r="K569" s="10">
        <v>1.5599999999999999E-2</v>
      </c>
      <c r="L569" s="9">
        <f t="shared" si="16"/>
        <v>3712.32006</v>
      </c>
      <c r="M569" s="9">
        <f>ROUND(L569*0.6956,2)</f>
        <v>2582.29</v>
      </c>
      <c r="N569" s="9">
        <f t="shared" si="17"/>
        <v>1130.03006</v>
      </c>
    </row>
    <row r="570" spans="1:14" x14ac:dyDescent="0.35">
      <c r="A570" s="7" t="s">
        <v>653</v>
      </c>
      <c r="B570" s="8">
        <v>45861</v>
      </c>
      <c r="C570" s="7" t="s">
        <v>52</v>
      </c>
      <c r="D570" s="7" t="s">
        <v>40</v>
      </c>
      <c r="E570" s="7" t="s">
        <v>139</v>
      </c>
      <c r="F570" s="7" t="s">
        <v>59</v>
      </c>
      <c r="G570" s="7" t="s">
        <v>43</v>
      </c>
      <c r="H570" s="7" t="s">
        <v>64</v>
      </c>
      <c r="I570" s="7">
        <v>7</v>
      </c>
      <c r="J570" s="9">
        <v>329.53</v>
      </c>
      <c r="K570" s="10">
        <v>8.3599999999999994E-2</v>
      </c>
      <c r="L570" s="9">
        <f t="shared" si="16"/>
        <v>2113.869044</v>
      </c>
      <c r="M570" s="9">
        <f>ROUND(L570*0.6382,2)</f>
        <v>1349.07</v>
      </c>
      <c r="N570" s="9">
        <f t="shared" si="17"/>
        <v>764.79904400000009</v>
      </c>
    </row>
    <row r="571" spans="1:14" x14ac:dyDescent="0.35">
      <c r="A571" s="7" t="s">
        <v>654</v>
      </c>
      <c r="B571" s="8">
        <v>45862</v>
      </c>
      <c r="C571" s="7" t="s">
        <v>46</v>
      </c>
      <c r="D571" s="7" t="s">
        <v>66</v>
      </c>
      <c r="E571" s="7" t="s">
        <v>77</v>
      </c>
      <c r="F571" s="7" t="s">
        <v>48</v>
      </c>
      <c r="G571" s="7" t="s">
        <v>55</v>
      </c>
      <c r="H571" s="7" t="s">
        <v>74</v>
      </c>
      <c r="I571" s="7">
        <v>3</v>
      </c>
      <c r="J571" s="9">
        <v>100.31</v>
      </c>
      <c r="K571" s="10">
        <v>8.8999999999999999E-3</v>
      </c>
      <c r="L571" s="9">
        <f t="shared" si="16"/>
        <v>298.25172300000003</v>
      </c>
      <c r="M571" s="9">
        <f>ROUND(L571*0.56,2)</f>
        <v>167.02</v>
      </c>
      <c r="N571" s="9">
        <f t="shared" si="17"/>
        <v>131.23172300000002</v>
      </c>
    </row>
    <row r="572" spans="1:14" x14ac:dyDescent="0.35">
      <c r="A572" s="7" t="s">
        <v>655</v>
      </c>
      <c r="B572" s="8">
        <v>45862</v>
      </c>
      <c r="C572" s="7" t="s">
        <v>46</v>
      </c>
      <c r="D572" s="7" t="s">
        <v>66</v>
      </c>
      <c r="E572" s="7" t="s">
        <v>98</v>
      </c>
      <c r="F572" s="7" t="s">
        <v>59</v>
      </c>
      <c r="G572" s="7" t="s">
        <v>55</v>
      </c>
      <c r="H572" s="7" t="s">
        <v>74</v>
      </c>
      <c r="I572" s="7">
        <v>7</v>
      </c>
      <c r="J572" s="9">
        <v>29.1</v>
      </c>
      <c r="K572" s="10">
        <v>6.8000000000000005E-2</v>
      </c>
      <c r="L572" s="9">
        <f t="shared" si="16"/>
        <v>189.8484</v>
      </c>
      <c r="M572" s="9">
        <f>ROUND(L572*0.584,2)</f>
        <v>110.87</v>
      </c>
      <c r="N572" s="9">
        <f t="shared" si="17"/>
        <v>78.978399999999993</v>
      </c>
    </row>
    <row r="573" spans="1:14" x14ac:dyDescent="0.35">
      <c r="A573" s="7" t="s">
        <v>656</v>
      </c>
      <c r="B573" s="8">
        <v>45863</v>
      </c>
      <c r="C573" s="7" t="s">
        <v>46</v>
      </c>
      <c r="D573" s="7" t="s">
        <v>66</v>
      </c>
      <c r="E573" s="7" t="s">
        <v>98</v>
      </c>
      <c r="F573" s="7" t="s">
        <v>59</v>
      </c>
      <c r="G573" s="7" t="s">
        <v>49</v>
      </c>
      <c r="H573" s="7" t="s">
        <v>95</v>
      </c>
      <c r="I573" s="7">
        <v>9</v>
      </c>
      <c r="J573" s="9">
        <v>27.01</v>
      </c>
      <c r="K573" s="10">
        <v>0.1149</v>
      </c>
      <c r="L573" s="9">
        <f t="shared" si="16"/>
        <v>215.15895900000001</v>
      </c>
      <c r="M573" s="9">
        <f>ROUND(L573*0.5671,2)</f>
        <v>122.02</v>
      </c>
      <c r="N573" s="9">
        <f t="shared" si="17"/>
        <v>93.138959000000014</v>
      </c>
    </row>
    <row r="574" spans="1:14" x14ac:dyDescent="0.35">
      <c r="A574" s="7" t="s">
        <v>657</v>
      </c>
      <c r="B574" s="8">
        <v>45865</v>
      </c>
      <c r="C574" s="7" t="s">
        <v>76</v>
      </c>
      <c r="D574" s="7" t="s">
        <v>66</v>
      </c>
      <c r="E574" s="7" t="s">
        <v>98</v>
      </c>
      <c r="F574" s="7" t="s">
        <v>48</v>
      </c>
      <c r="G574" s="7" t="s">
        <v>43</v>
      </c>
      <c r="H574" s="7" t="s">
        <v>110</v>
      </c>
      <c r="I574" s="7">
        <v>2</v>
      </c>
      <c r="J574" s="9">
        <v>28.35</v>
      </c>
      <c r="K574" s="10">
        <v>2.92E-2</v>
      </c>
      <c r="L574" s="9">
        <f t="shared" si="16"/>
        <v>55.044360000000005</v>
      </c>
      <c r="M574" s="9">
        <f>ROUND(L574*0.5944,2)</f>
        <v>32.72</v>
      </c>
      <c r="N574" s="9">
        <f t="shared" si="17"/>
        <v>22.324360000000006</v>
      </c>
    </row>
    <row r="575" spans="1:14" x14ac:dyDescent="0.35">
      <c r="A575" s="7" t="s">
        <v>658</v>
      </c>
      <c r="B575" s="8">
        <v>45865</v>
      </c>
      <c r="C575" s="7" t="s">
        <v>52</v>
      </c>
      <c r="D575" s="7" t="s">
        <v>53</v>
      </c>
      <c r="E575" s="7" t="s">
        <v>81</v>
      </c>
      <c r="F575" s="7" t="s">
        <v>42</v>
      </c>
      <c r="G575" s="7" t="s">
        <v>43</v>
      </c>
      <c r="H575" s="7" t="s">
        <v>64</v>
      </c>
      <c r="I575" s="7">
        <v>29</v>
      </c>
      <c r="J575" s="9">
        <v>1111.24</v>
      </c>
      <c r="K575" s="10">
        <v>0.1159</v>
      </c>
      <c r="L575" s="9">
        <f t="shared" si="16"/>
        <v>28490.971235999998</v>
      </c>
      <c r="M575" s="9">
        <f>ROUND(L575*0.6853,2)</f>
        <v>19524.86</v>
      </c>
      <c r="N575" s="9">
        <f t="shared" si="17"/>
        <v>8966.111235999997</v>
      </c>
    </row>
    <row r="576" spans="1:14" x14ac:dyDescent="0.35">
      <c r="A576" s="7" t="s">
        <v>659</v>
      </c>
      <c r="B576" s="8">
        <v>45866</v>
      </c>
      <c r="C576" s="7" t="s">
        <v>52</v>
      </c>
      <c r="D576" s="7" t="s">
        <v>53</v>
      </c>
      <c r="E576" s="7" t="s">
        <v>58</v>
      </c>
      <c r="F576" s="7" t="s">
        <v>48</v>
      </c>
      <c r="G576" s="7" t="s">
        <v>55</v>
      </c>
      <c r="H576" s="7" t="s">
        <v>56</v>
      </c>
      <c r="I576" s="7">
        <v>1</v>
      </c>
      <c r="J576" s="9">
        <v>725.83</v>
      </c>
      <c r="K576" s="10">
        <v>6.5600000000000006E-2</v>
      </c>
      <c r="L576" s="9">
        <f t="shared" si="16"/>
        <v>678.215552</v>
      </c>
      <c r="M576" s="9">
        <f>ROUND(L576*0.7226,2)</f>
        <v>490.08</v>
      </c>
      <c r="N576" s="9">
        <f t="shared" si="17"/>
        <v>188.13555200000002</v>
      </c>
    </row>
    <row r="577" spans="1:14" x14ac:dyDescent="0.35">
      <c r="A577" s="7" t="s">
        <v>660</v>
      </c>
      <c r="B577" s="8">
        <v>45866</v>
      </c>
      <c r="C577" s="7" t="s">
        <v>46</v>
      </c>
      <c r="D577" s="7" t="s">
        <v>66</v>
      </c>
      <c r="E577" s="7" t="s">
        <v>137</v>
      </c>
      <c r="F577" s="7" t="s">
        <v>59</v>
      </c>
      <c r="G577" s="7" t="s">
        <v>55</v>
      </c>
      <c r="H577" s="7" t="s">
        <v>74</v>
      </c>
      <c r="I577" s="7">
        <v>8</v>
      </c>
      <c r="J577" s="9">
        <v>160.38</v>
      </c>
      <c r="K577" s="10">
        <v>5.5199999999999999E-2</v>
      </c>
      <c r="L577" s="9">
        <f t="shared" si="16"/>
        <v>1212.2161919999999</v>
      </c>
      <c r="M577" s="9">
        <f>ROUND(L577*0.5628,2)</f>
        <v>682.24</v>
      </c>
      <c r="N577" s="9">
        <f t="shared" si="17"/>
        <v>529.97619199999986</v>
      </c>
    </row>
    <row r="578" spans="1:14" x14ac:dyDescent="0.35">
      <c r="A578" s="7" t="s">
        <v>661</v>
      </c>
      <c r="B578" s="8">
        <v>45866</v>
      </c>
      <c r="C578" s="7" t="s">
        <v>52</v>
      </c>
      <c r="D578" s="7" t="s">
        <v>66</v>
      </c>
      <c r="E578" s="7" t="s">
        <v>67</v>
      </c>
      <c r="F578" s="7" t="s">
        <v>48</v>
      </c>
      <c r="G578" s="7" t="s">
        <v>55</v>
      </c>
      <c r="H578" s="7" t="s">
        <v>56</v>
      </c>
      <c r="I578" s="7">
        <v>2</v>
      </c>
      <c r="J578" s="9">
        <v>91.18</v>
      </c>
      <c r="K578" s="10">
        <v>3.1699999999999999E-2</v>
      </c>
      <c r="L578" s="9">
        <f t="shared" ref="L578:L641" si="18">I578*J578*(1-K578)</f>
        <v>176.57918800000002</v>
      </c>
      <c r="M578" s="9">
        <f>ROUND(L578*0.58,2)</f>
        <v>102.42</v>
      </c>
      <c r="N578" s="9">
        <f t="shared" ref="N578:N641" si="19">L578-M578</f>
        <v>74.159188000000015</v>
      </c>
    </row>
    <row r="579" spans="1:14" x14ac:dyDescent="0.35">
      <c r="A579" s="7" t="s">
        <v>662</v>
      </c>
      <c r="B579" s="8">
        <v>45866</v>
      </c>
      <c r="C579" s="7" t="s">
        <v>76</v>
      </c>
      <c r="D579" s="7" t="s">
        <v>66</v>
      </c>
      <c r="E579" s="7" t="s">
        <v>98</v>
      </c>
      <c r="F579" s="7" t="s">
        <v>59</v>
      </c>
      <c r="G579" s="7" t="s">
        <v>55</v>
      </c>
      <c r="H579" s="7" t="s">
        <v>78</v>
      </c>
      <c r="I579" s="7">
        <v>4</v>
      </c>
      <c r="J579" s="9">
        <v>28.33</v>
      </c>
      <c r="K579" s="10">
        <v>7.7600000000000002E-2</v>
      </c>
      <c r="L579" s="9">
        <f t="shared" si="18"/>
        <v>104.52636799999999</v>
      </c>
      <c r="M579" s="9">
        <f>ROUND(L579*0.5557,2)</f>
        <v>58.09</v>
      </c>
      <c r="N579" s="9">
        <f t="shared" si="19"/>
        <v>46.436367999999987</v>
      </c>
    </row>
    <row r="580" spans="1:14" x14ac:dyDescent="0.35">
      <c r="A580" s="7" t="s">
        <v>663</v>
      </c>
      <c r="B580" s="8">
        <v>45867</v>
      </c>
      <c r="C580" s="7" t="s">
        <v>52</v>
      </c>
      <c r="D580" s="7" t="s">
        <v>53</v>
      </c>
      <c r="E580" s="7" t="s">
        <v>54</v>
      </c>
      <c r="F580" s="7" t="s">
        <v>42</v>
      </c>
      <c r="G580" s="7" t="s">
        <v>43</v>
      </c>
      <c r="H580" s="7" t="s">
        <v>83</v>
      </c>
      <c r="I580" s="7">
        <v>24</v>
      </c>
      <c r="J580" s="9">
        <v>1279.3499999999999</v>
      </c>
      <c r="K580" s="10">
        <v>0.14280000000000001</v>
      </c>
      <c r="L580" s="9">
        <f t="shared" si="18"/>
        <v>26319.811679999995</v>
      </c>
      <c r="M580" s="9">
        <f>ROUND(L580*0.7039,2)</f>
        <v>18526.52</v>
      </c>
      <c r="N580" s="9">
        <f t="shared" si="19"/>
        <v>7793.2916799999948</v>
      </c>
    </row>
    <row r="581" spans="1:14" x14ac:dyDescent="0.35">
      <c r="A581" s="7" t="s">
        <v>664</v>
      </c>
      <c r="B581" s="8">
        <v>45867</v>
      </c>
      <c r="C581" s="7" t="s">
        <v>46</v>
      </c>
      <c r="D581" s="7" t="s">
        <v>40</v>
      </c>
      <c r="E581" s="7" t="s">
        <v>91</v>
      </c>
      <c r="F581" s="7" t="s">
        <v>48</v>
      </c>
      <c r="G581" s="7" t="s">
        <v>55</v>
      </c>
      <c r="H581" s="7" t="s">
        <v>74</v>
      </c>
      <c r="I581" s="7">
        <v>1</v>
      </c>
      <c r="J581" s="9">
        <v>130.44999999999999</v>
      </c>
      <c r="K581" s="10">
        <v>5.0700000000000002E-2</v>
      </c>
      <c r="L581" s="9">
        <f t="shared" si="18"/>
        <v>123.836185</v>
      </c>
      <c r="M581" s="9">
        <f>ROUND(L581*0.6353,2)</f>
        <v>78.67</v>
      </c>
      <c r="N581" s="9">
        <f t="shared" si="19"/>
        <v>45.166184999999999</v>
      </c>
    </row>
    <row r="582" spans="1:14" x14ac:dyDescent="0.35">
      <c r="A582" s="7" t="s">
        <v>665</v>
      </c>
      <c r="B582" s="8">
        <v>45867</v>
      </c>
      <c r="C582" s="7" t="s">
        <v>76</v>
      </c>
      <c r="D582" s="7" t="s">
        <v>40</v>
      </c>
      <c r="E582" s="7" t="s">
        <v>41</v>
      </c>
      <c r="F582" s="7" t="s">
        <v>59</v>
      </c>
      <c r="G582" s="7" t="s">
        <v>55</v>
      </c>
      <c r="H582" s="7" t="s">
        <v>78</v>
      </c>
      <c r="I582" s="7">
        <v>6</v>
      </c>
      <c r="J582" s="9">
        <v>399.02</v>
      </c>
      <c r="K582" s="10">
        <v>6.1600000000000002E-2</v>
      </c>
      <c r="L582" s="9">
        <f t="shared" si="18"/>
        <v>2246.6422079999998</v>
      </c>
      <c r="M582" s="9">
        <f>ROUND(L582*0.6656,2)</f>
        <v>1495.37</v>
      </c>
      <c r="N582" s="9">
        <f t="shared" si="19"/>
        <v>751.27220799999986</v>
      </c>
    </row>
    <row r="583" spans="1:14" x14ac:dyDescent="0.35">
      <c r="A583" s="7" t="s">
        <v>666</v>
      </c>
      <c r="B583" s="8">
        <v>45867</v>
      </c>
      <c r="C583" s="7" t="s">
        <v>52</v>
      </c>
      <c r="D583" s="7" t="s">
        <v>53</v>
      </c>
      <c r="E583" s="7" t="s">
        <v>58</v>
      </c>
      <c r="F583" s="7" t="s">
        <v>48</v>
      </c>
      <c r="G583" s="7" t="s">
        <v>55</v>
      </c>
      <c r="H583" s="7" t="s">
        <v>56</v>
      </c>
      <c r="I583" s="7">
        <v>3</v>
      </c>
      <c r="J583" s="9">
        <v>695.32</v>
      </c>
      <c r="K583" s="10">
        <v>4.7899999999999998E-2</v>
      </c>
      <c r="L583" s="9">
        <f t="shared" si="18"/>
        <v>1986.042516</v>
      </c>
      <c r="M583" s="9">
        <f>ROUND(L583*0.7277,2)</f>
        <v>1445.24</v>
      </c>
      <c r="N583" s="9">
        <f t="shared" si="19"/>
        <v>540.80251599999997</v>
      </c>
    </row>
    <row r="584" spans="1:14" x14ac:dyDescent="0.35">
      <c r="A584" s="7" t="s">
        <v>667</v>
      </c>
      <c r="B584" s="8">
        <v>45867</v>
      </c>
      <c r="C584" s="7" t="s">
        <v>52</v>
      </c>
      <c r="D584" s="7" t="s">
        <v>40</v>
      </c>
      <c r="E584" s="7" t="s">
        <v>62</v>
      </c>
      <c r="F584" s="7" t="s">
        <v>48</v>
      </c>
      <c r="G584" s="7" t="s">
        <v>49</v>
      </c>
      <c r="H584" s="7" t="s">
        <v>64</v>
      </c>
      <c r="I584" s="7">
        <v>2</v>
      </c>
      <c r="J584" s="9">
        <v>194.1</v>
      </c>
      <c r="K584" s="10">
        <v>4.3099999999999999E-2</v>
      </c>
      <c r="L584" s="9">
        <f t="shared" si="18"/>
        <v>371.46857999999997</v>
      </c>
      <c r="M584" s="9">
        <f>ROUND(L584*0.6146,2)</f>
        <v>228.3</v>
      </c>
      <c r="N584" s="9">
        <f t="shared" si="19"/>
        <v>143.16857999999996</v>
      </c>
    </row>
    <row r="585" spans="1:14" x14ac:dyDescent="0.35">
      <c r="A585" s="7" t="s">
        <v>668</v>
      </c>
      <c r="B585" s="8">
        <v>45868</v>
      </c>
      <c r="C585" s="7" t="s">
        <v>52</v>
      </c>
      <c r="D585" s="7" t="s">
        <v>40</v>
      </c>
      <c r="E585" s="7" t="s">
        <v>62</v>
      </c>
      <c r="F585" s="7" t="s">
        <v>48</v>
      </c>
      <c r="G585" s="7" t="s">
        <v>55</v>
      </c>
      <c r="H585" s="7" t="s">
        <v>56</v>
      </c>
      <c r="I585" s="7">
        <v>2</v>
      </c>
      <c r="J585" s="9">
        <v>196.86</v>
      </c>
      <c r="K585" s="10">
        <v>3.6400000000000002E-2</v>
      </c>
      <c r="L585" s="9">
        <f t="shared" si="18"/>
        <v>379.38859200000002</v>
      </c>
      <c r="M585" s="9">
        <f>ROUND(L585*0.6282,2)</f>
        <v>238.33</v>
      </c>
      <c r="N585" s="9">
        <f t="shared" si="19"/>
        <v>141.058592</v>
      </c>
    </row>
    <row r="586" spans="1:14" x14ac:dyDescent="0.35">
      <c r="A586" s="7" t="s">
        <v>669</v>
      </c>
      <c r="B586" s="8">
        <v>45868</v>
      </c>
      <c r="C586" s="7" t="s">
        <v>39</v>
      </c>
      <c r="D586" s="7" t="s">
        <v>40</v>
      </c>
      <c r="E586" s="7" t="s">
        <v>62</v>
      </c>
      <c r="F586" s="7" t="s">
        <v>59</v>
      </c>
      <c r="G586" s="7" t="s">
        <v>49</v>
      </c>
      <c r="H586" s="7" t="s">
        <v>60</v>
      </c>
      <c r="I586" s="7">
        <v>6</v>
      </c>
      <c r="J586" s="9">
        <v>198.63</v>
      </c>
      <c r="K586" s="10">
        <v>0.1313</v>
      </c>
      <c r="L586" s="9">
        <f t="shared" si="18"/>
        <v>1035.2992859999999</v>
      </c>
      <c r="M586" s="9">
        <f>ROUND(L586*0.6523,2)</f>
        <v>675.33</v>
      </c>
      <c r="N586" s="9">
        <f t="shared" si="19"/>
        <v>359.9692859999999</v>
      </c>
    </row>
    <row r="587" spans="1:14" x14ac:dyDescent="0.35">
      <c r="A587" s="7" t="s">
        <v>670</v>
      </c>
      <c r="B587" s="8">
        <v>45868</v>
      </c>
      <c r="C587" s="7" t="s">
        <v>39</v>
      </c>
      <c r="D587" s="7" t="s">
        <v>66</v>
      </c>
      <c r="E587" s="7" t="s">
        <v>77</v>
      </c>
      <c r="F587" s="7" t="s">
        <v>42</v>
      </c>
      <c r="G587" s="7" t="s">
        <v>43</v>
      </c>
      <c r="H587" s="7" t="s">
        <v>44</v>
      </c>
      <c r="I587" s="7">
        <v>13</v>
      </c>
      <c r="J587" s="9">
        <v>93.95</v>
      </c>
      <c r="K587" s="10">
        <v>0.20649999999999999</v>
      </c>
      <c r="L587" s="9">
        <f t="shared" si="18"/>
        <v>969.14122500000008</v>
      </c>
      <c r="M587" s="9">
        <f>ROUND(L587*0.5551,2)</f>
        <v>537.97</v>
      </c>
      <c r="N587" s="9">
        <f t="shared" si="19"/>
        <v>431.17122500000005</v>
      </c>
    </row>
    <row r="588" spans="1:14" x14ac:dyDescent="0.35">
      <c r="A588" s="7" t="s">
        <v>671</v>
      </c>
      <c r="B588" s="8">
        <v>45868</v>
      </c>
      <c r="C588" s="7" t="s">
        <v>46</v>
      </c>
      <c r="D588" s="7" t="s">
        <v>53</v>
      </c>
      <c r="E588" s="7" t="s">
        <v>87</v>
      </c>
      <c r="F588" s="7" t="s">
        <v>59</v>
      </c>
      <c r="G588" s="7" t="s">
        <v>43</v>
      </c>
      <c r="H588" s="7" t="s">
        <v>95</v>
      </c>
      <c r="I588" s="7">
        <v>5</v>
      </c>
      <c r="J588" s="9">
        <v>855.03</v>
      </c>
      <c r="K588" s="10">
        <v>0.1444</v>
      </c>
      <c r="L588" s="9">
        <f t="shared" si="18"/>
        <v>3657.8183399999998</v>
      </c>
      <c r="M588" s="9">
        <f>ROUND(L588*0.6817,2)</f>
        <v>2493.5300000000002</v>
      </c>
      <c r="N588" s="9">
        <f t="shared" si="19"/>
        <v>1164.2883399999996</v>
      </c>
    </row>
    <row r="589" spans="1:14" x14ac:dyDescent="0.35">
      <c r="A589" s="7" t="s">
        <v>672</v>
      </c>
      <c r="B589" s="8">
        <v>45869</v>
      </c>
      <c r="C589" s="7" t="s">
        <v>46</v>
      </c>
      <c r="D589" s="7" t="s">
        <v>66</v>
      </c>
      <c r="E589" s="7" t="s">
        <v>77</v>
      </c>
      <c r="F589" s="7" t="s">
        <v>48</v>
      </c>
      <c r="G589" s="7" t="s">
        <v>49</v>
      </c>
      <c r="H589" s="7" t="s">
        <v>50</v>
      </c>
      <c r="I589" s="7">
        <v>3</v>
      </c>
      <c r="J589" s="9">
        <v>97.97</v>
      </c>
      <c r="K589" s="10">
        <v>6.1899999999999997E-2</v>
      </c>
      <c r="L589" s="9">
        <f t="shared" si="18"/>
        <v>275.716971</v>
      </c>
      <c r="M589" s="9">
        <f>ROUND(L589*0.574,2)</f>
        <v>158.26</v>
      </c>
      <c r="N589" s="9">
        <f t="shared" si="19"/>
        <v>117.45697100000001</v>
      </c>
    </row>
    <row r="590" spans="1:14" x14ac:dyDescent="0.35">
      <c r="A590" s="7" t="s">
        <v>673</v>
      </c>
      <c r="B590" s="8">
        <v>45870</v>
      </c>
      <c r="C590" s="7" t="s">
        <v>46</v>
      </c>
      <c r="D590" s="7" t="s">
        <v>66</v>
      </c>
      <c r="E590" s="7" t="s">
        <v>137</v>
      </c>
      <c r="F590" s="7" t="s">
        <v>48</v>
      </c>
      <c r="G590" s="7" t="s">
        <v>55</v>
      </c>
      <c r="H590" s="7" t="s">
        <v>74</v>
      </c>
      <c r="I590" s="7">
        <v>3</v>
      </c>
      <c r="J590" s="9">
        <v>164.85</v>
      </c>
      <c r="K590" s="10">
        <v>5.1700000000000003E-2</v>
      </c>
      <c r="L590" s="9">
        <f t="shared" si="18"/>
        <v>468.981765</v>
      </c>
      <c r="M590" s="9">
        <f>ROUND(L590*0.5616,2)</f>
        <v>263.38</v>
      </c>
      <c r="N590" s="9">
        <f t="shared" si="19"/>
        <v>205.601765</v>
      </c>
    </row>
    <row r="591" spans="1:14" x14ac:dyDescent="0.35">
      <c r="A591" s="7" t="s">
        <v>674</v>
      </c>
      <c r="B591" s="8">
        <v>45870</v>
      </c>
      <c r="C591" s="7" t="s">
        <v>46</v>
      </c>
      <c r="D591" s="7" t="s">
        <v>40</v>
      </c>
      <c r="E591" s="7" t="s">
        <v>47</v>
      </c>
      <c r="F591" s="7" t="s">
        <v>59</v>
      </c>
      <c r="G591" s="7" t="s">
        <v>49</v>
      </c>
      <c r="H591" s="7" t="s">
        <v>95</v>
      </c>
      <c r="I591" s="7">
        <v>3</v>
      </c>
      <c r="J591" s="9">
        <v>236.41</v>
      </c>
      <c r="K591" s="10">
        <v>6.3799999999999996E-2</v>
      </c>
      <c r="L591" s="9">
        <f t="shared" si="18"/>
        <v>663.98112600000002</v>
      </c>
      <c r="M591" s="9">
        <f>ROUND(L591*0.6337,2)</f>
        <v>420.76</v>
      </c>
      <c r="N591" s="9">
        <f t="shared" si="19"/>
        <v>243.22112600000003</v>
      </c>
    </row>
    <row r="592" spans="1:14" x14ac:dyDescent="0.35">
      <c r="A592" s="7" t="s">
        <v>675</v>
      </c>
      <c r="B592" s="8">
        <v>45870</v>
      </c>
      <c r="C592" s="7" t="s">
        <v>46</v>
      </c>
      <c r="D592" s="7" t="s">
        <v>69</v>
      </c>
      <c r="E592" s="7" t="s">
        <v>70</v>
      </c>
      <c r="F592" s="7" t="s">
        <v>59</v>
      </c>
      <c r="G592" s="7" t="s">
        <v>55</v>
      </c>
      <c r="H592" s="7" t="s">
        <v>74</v>
      </c>
      <c r="I592" s="7">
        <v>3</v>
      </c>
      <c r="J592" s="9">
        <v>144.19999999999999</v>
      </c>
      <c r="K592" s="10">
        <v>9.8299999999999998E-2</v>
      </c>
      <c r="L592" s="9">
        <f t="shared" si="18"/>
        <v>390.07541999999995</v>
      </c>
      <c r="M592" s="9">
        <f>ROUND(L592*0.2312,2)</f>
        <v>90.19</v>
      </c>
      <c r="N592" s="9">
        <f t="shared" si="19"/>
        <v>299.88541999999995</v>
      </c>
    </row>
    <row r="593" spans="1:14" x14ac:dyDescent="0.35">
      <c r="A593" s="7" t="s">
        <v>676</v>
      </c>
      <c r="B593" s="8">
        <v>45870</v>
      </c>
      <c r="C593" s="7" t="s">
        <v>39</v>
      </c>
      <c r="D593" s="7" t="s">
        <v>53</v>
      </c>
      <c r="E593" s="7" t="s">
        <v>58</v>
      </c>
      <c r="F593" s="7" t="s">
        <v>59</v>
      </c>
      <c r="G593" s="7" t="s">
        <v>49</v>
      </c>
      <c r="H593" s="7" t="s">
        <v>60</v>
      </c>
      <c r="I593" s="7">
        <v>4</v>
      </c>
      <c r="J593" s="9">
        <v>688.09</v>
      </c>
      <c r="K593" s="10">
        <v>0.1052</v>
      </c>
      <c r="L593" s="9">
        <f t="shared" si="18"/>
        <v>2462.8117280000001</v>
      </c>
      <c r="M593" s="9">
        <f>ROUND(L593*0.7235,2)</f>
        <v>1781.84</v>
      </c>
      <c r="N593" s="9">
        <f t="shared" si="19"/>
        <v>680.97172800000021</v>
      </c>
    </row>
    <row r="594" spans="1:14" x14ac:dyDescent="0.35">
      <c r="A594" s="7" t="s">
        <v>677</v>
      </c>
      <c r="B594" s="8">
        <v>45870</v>
      </c>
      <c r="C594" s="7" t="s">
        <v>39</v>
      </c>
      <c r="D594" s="7" t="s">
        <v>40</v>
      </c>
      <c r="E594" s="7" t="s">
        <v>139</v>
      </c>
      <c r="F594" s="7" t="s">
        <v>42</v>
      </c>
      <c r="G594" s="7" t="s">
        <v>43</v>
      </c>
      <c r="H594" s="7" t="s">
        <v>44</v>
      </c>
      <c r="I594" s="7">
        <v>38</v>
      </c>
      <c r="J594" s="9">
        <v>328.42</v>
      </c>
      <c r="K594" s="10">
        <v>0.19520000000000001</v>
      </c>
      <c r="L594" s="9">
        <f t="shared" si="18"/>
        <v>10043.871808</v>
      </c>
      <c r="M594" s="9">
        <f>ROUND(L594*0.6565,2)</f>
        <v>6593.8</v>
      </c>
      <c r="N594" s="9">
        <f t="shared" si="19"/>
        <v>3450.0718079999997</v>
      </c>
    </row>
    <row r="595" spans="1:14" x14ac:dyDescent="0.35">
      <c r="A595" s="7" t="s">
        <v>678</v>
      </c>
      <c r="B595" s="8">
        <v>45870</v>
      </c>
      <c r="C595" s="7" t="s">
        <v>52</v>
      </c>
      <c r="D595" s="7" t="s">
        <v>40</v>
      </c>
      <c r="E595" s="7" t="s">
        <v>41</v>
      </c>
      <c r="F595" s="7" t="s">
        <v>59</v>
      </c>
      <c r="G595" s="7" t="s">
        <v>49</v>
      </c>
      <c r="H595" s="7" t="s">
        <v>64</v>
      </c>
      <c r="I595" s="7">
        <v>9</v>
      </c>
      <c r="J595" s="9">
        <v>384.37</v>
      </c>
      <c r="K595" s="10">
        <v>7.8700000000000006E-2</v>
      </c>
      <c r="L595" s="9">
        <f t="shared" si="18"/>
        <v>3187.0807289999998</v>
      </c>
      <c r="M595" s="9">
        <f>ROUND(L595*0.6436,2)</f>
        <v>2051.21</v>
      </c>
      <c r="N595" s="9">
        <f t="shared" si="19"/>
        <v>1135.8707289999998</v>
      </c>
    </row>
    <row r="596" spans="1:14" x14ac:dyDescent="0.35">
      <c r="A596" s="7" t="s">
        <v>679</v>
      </c>
      <c r="B596" s="8">
        <v>45872</v>
      </c>
      <c r="C596" s="7" t="s">
        <v>46</v>
      </c>
      <c r="D596" s="7" t="s">
        <v>40</v>
      </c>
      <c r="E596" s="7" t="s">
        <v>91</v>
      </c>
      <c r="F596" s="7" t="s">
        <v>42</v>
      </c>
      <c r="G596" s="7" t="s">
        <v>43</v>
      </c>
      <c r="H596" s="7" t="s">
        <v>95</v>
      </c>
      <c r="I596" s="7">
        <v>10</v>
      </c>
      <c r="J596" s="9">
        <v>124.79</v>
      </c>
      <c r="K596" s="10">
        <v>0.17519999999999999</v>
      </c>
      <c r="L596" s="9">
        <f t="shared" si="18"/>
        <v>1029.26792</v>
      </c>
      <c r="M596" s="9">
        <f>ROUND(L596*0.6533,2)</f>
        <v>672.42</v>
      </c>
      <c r="N596" s="9">
        <f t="shared" si="19"/>
        <v>356.84792000000004</v>
      </c>
    </row>
    <row r="597" spans="1:14" x14ac:dyDescent="0.35">
      <c r="A597" s="7" t="s">
        <v>680</v>
      </c>
      <c r="B597" s="8">
        <v>45872</v>
      </c>
      <c r="C597" s="7" t="s">
        <v>39</v>
      </c>
      <c r="D597" s="7" t="s">
        <v>53</v>
      </c>
      <c r="E597" s="7" t="s">
        <v>105</v>
      </c>
      <c r="F597" s="7" t="s">
        <v>42</v>
      </c>
      <c r="G597" s="7" t="s">
        <v>43</v>
      </c>
      <c r="H597" s="7" t="s">
        <v>60</v>
      </c>
      <c r="I597" s="7">
        <v>9</v>
      </c>
      <c r="J597" s="9">
        <v>447.76</v>
      </c>
      <c r="K597" s="10">
        <v>0.18010000000000001</v>
      </c>
      <c r="L597" s="9">
        <f t="shared" si="18"/>
        <v>3304.0658159999998</v>
      </c>
      <c r="M597" s="9">
        <f>ROUND(L597*0.7094,2)</f>
        <v>2343.9</v>
      </c>
      <c r="N597" s="9">
        <f t="shared" si="19"/>
        <v>960.16581599999972</v>
      </c>
    </row>
    <row r="598" spans="1:14" x14ac:dyDescent="0.35">
      <c r="A598" s="7" t="s">
        <v>681</v>
      </c>
      <c r="B598" s="8">
        <v>45872</v>
      </c>
      <c r="C598" s="7" t="s">
        <v>76</v>
      </c>
      <c r="D598" s="7" t="s">
        <v>66</v>
      </c>
      <c r="E598" s="7" t="s">
        <v>73</v>
      </c>
      <c r="F598" s="7" t="s">
        <v>42</v>
      </c>
      <c r="G598" s="7" t="s">
        <v>43</v>
      </c>
      <c r="H598" s="7" t="s">
        <v>151</v>
      </c>
      <c r="I598" s="7">
        <v>20</v>
      </c>
      <c r="J598" s="9">
        <v>38.979999999999997</v>
      </c>
      <c r="K598" s="10">
        <v>0.16439999999999999</v>
      </c>
      <c r="L598" s="9">
        <f t="shared" si="18"/>
        <v>651.43375999999989</v>
      </c>
      <c r="M598" s="9">
        <f>ROUND(L598*0.5638,2)</f>
        <v>367.28</v>
      </c>
      <c r="N598" s="9">
        <f t="shared" si="19"/>
        <v>284.15375999999992</v>
      </c>
    </row>
    <row r="599" spans="1:14" x14ac:dyDescent="0.35">
      <c r="A599" s="7" t="s">
        <v>682</v>
      </c>
      <c r="B599" s="8">
        <v>45873</v>
      </c>
      <c r="C599" s="7" t="s">
        <v>76</v>
      </c>
      <c r="D599" s="7" t="s">
        <v>69</v>
      </c>
      <c r="E599" s="7" t="s">
        <v>70</v>
      </c>
      <c r="F599" s="7" t="s">
        <v>59</v>
      </c>
      <c r="G599" s="7" t="s">
        <v>49</v>
      </c>
      <c r="H599" s="7" t="s">
        <v>151</v>
      </c>
      <c r="I599" s="7">
        <v>7</v>
      </c>
      <c r="J599" s="9">
        <v>149.80000000000001</v>
      </c>
      <c r="K599" s="10">
        <v>8.9899999999999994E-2</v>
      </c>
      <c r="L599" s="9">
        <f t="shared" si="18"/>
        <v>954.33086000000014</v>
      </c>
      <c r="M599" s="9">
        <f>ROUND(L599*0.2165,2)</f>
        <v>206.61</v>
      </c>
      <c r="N599" s="9">
        <f t="shared" si="19"/>
        <v>747.72086000000013</v>
      </c>
    </row>
    <row r="600" spans="1:14" x14ac:dyDescent="0.35">
      <c r="A600" s="7" t="s">
        <v>683</v>
      </c>
      <c r="B600" s="8">
        <v>45873</v>
      </c>
      <c r="C600" s="7" t="s">
        <v>52</v>
      </c>
      <c r="D600" s="7" t="s">
        <v>53</v>
      </c>
      <c r="E600" s="7" t="s">
        <v>58</v>
      </c>
      <c r="F600" s="7" t="s">
        <v>48</v>
      </c>
      <c r="G600" s="7" t="s">
        <v>55</v>
      </c>
      <c r="H600" s="7" t="s">
        <v>56</v>
      </c>
      <c r="I600" s="7">
        <v>2</v>
      </c>
      <c r="J600" s="9">
        <v>693.45</v>
      </c>
      <c r="K600" s="10">
        <v>5.0099999999999999E-2</v>
      </c>
      <c r="L600" s="9">
        <f t="shared" si="18"/>
        <v>1317.4163100000001</v>
      </c>
      <c r="M600" s="9">
        <f>ROUND(L600*0.7173,2)</f>
        <v>944.98</v>
      </c>
      <c r="N600" s="9">
        <f t="shared" si="19"/>
        <v>372.43631000000005</v>
      </c>
    </row>
    <row r="601" spans="1:14" x14ac:dyDescent="0.35">
      <c r="A601" s="7" t="s">
        <v>684</v>
      </c>
      <c r="B601" s="8">
        <v>45873</v>
      </c>
      <c r="C601" s="7" t="s">
        <v>52</v>
      </c>
      <c r="D601" s="7" t="s">
        <v>66</v>
      </c>
      <c r="E601" s="7" t="s">
        <v>67</v>
      </c>
      <c r="F601" s="7" t="s">
        <v>59</v>
      </c>
      <c r="G601" s="7" t="s">
        <v>49</v>
      </c>
      <c r="H601" s="7" t="s">
        <v>83</v>
      </c>
      <c r="I601" s="7">
        <v>6</v>
      </c>
      <c r="J601" s="9">
        <v>89.42</v>
      </c>
      <c r="K601" s="10">
        <v>0.1222</v>
      </c>
      <c r="L601" s="9">
        <f t="shared" si="18"/>
        <v>470.95725599999997</v>
      </c>
      <c r="M601" s="9">
        <f>ROUND(L601*0.6037,2)</f>
        <v>284.32</v>
      </c>
      <c r="N601" s="9">
        <f t="shared" si="19"/>
        <v>186.63725599999998</v>
      </c>
    </row>
    <row r="602" spans="1:14" x14ac:dyDescent="0.35">
      <c r="A602" s="7" t="s">
        <v>685</v>
      </c>
      <c r="B602" s="8">
        <v>45873</v>
      </c>
      <c r="C602" s="7" t="s">
        <v>39</v>
      </c>
      <c r="D602" s="7" t="s">
        <v>66</v>
      </c>
      <c r="E602" s="7" t="s">
        <v>77</v>
      </c>
      <c r="F602" s="7" t="s">
        <v>59</v>
      </c>
      <c r="G602" s="7" t="s">
        <v>49</v>
      </c>
      <c r="H602" s="7" t="s">
        <v>60</v>
      </c>
      <c r="I602" s="7">
        <v>8</v>
      </c>
      <c r="J602" s="9">
        <v>98.42</v>
      </c>
      <c r="K602" s="10">
        <v>9.3200000000000005E-2</v>
      </c>
      <c r="L602" s="9">
        <f t="shared" si="18"/>
        <v>713.97804800000006</v>
      </c>
      <c r="M602" s="9">
        <f>ROUND(L602*0.5907,2)</f>
        <v>421.75</v>
      </c>
      <c r="N602" s="9">
        <f t="shared" si="19"/>
        <v>292.22804800000006</v>
      </c>
    </row>
    <row r="603" spans="1:14" x14ac:dyDescent="0.35">
      <c r="A603" s="7" t="s">
        <v>686</v>
      </c>
      <c r="B603" s="8">
        <v>45873</v>
      </c>
      <c r="C603" s="7" t="s">
        <v>46</v>
      </c>
      <c r="D603" s="7" t="s">
        <v>66</v>
      </c>
      <c r="E603" s="7" t="s">
        <v>73</v>
      </c>
      <c r="F603" s="7" t="s">
        <v>59</v>
      </c>
      <c r="G603" s="7" t="s">
        <v>49</v>
      </c>
      <c r="H603" s="7" t="s">
        <v>95</v>
      </c>
      <c r="I603" s="7">
        <v>6</v>
      </c>
      <c r="J603" s="9">
        <v>37.29</v>
      </c>
      <c r="K603" s="10">
        <v>9.8799999999999999E-2</v>
      </c>
      <c r="L603" s="9">
        <f t="shared" si="18"/>
        <v>201.634488</v>
      </c>
      <c r="M603" s="9">
        <f>ROUND(L603*0.5666,2)</f>
        <v>114.25</v>
      </c>
      <c r="N603" s="9">
        <f t="shared" si="19"/>
        <v>87.384488000000005</v>
      </c>
    </row>
    <row r="604" spans="1:14" x14ac:dyDescent="0.35">
      <c r="A604" s="7" t="s">
        <v>687</v>
      </c>
      <c r="B604" s="8">
        <v>45873</v>
      </c>
      <c r="C604" s="7" t="s">
        <v>39</v>
      </c>
      <c r="D604" s="7" t="s">
        <v>69</v>
      </c>
      <c r="E604" s="7" t="s">
        <v>132</v>
      </c>
      <c r="F604" s="7" t="s">
        <v>59</v>
      </c>
      <c r="G604" s="7" t="s">
        <v>55</v>
      </c>
      <c r="H604" s="7" t="s">
        <v>108</v>
      </c>
      <c r="I604" s="7">
        <v>5</v>
      </c>
      <c r="J604" s="9">
        <v>78.61</v>
      </c>
      <c r="K604" s="10">
        <v>5.9400000000000001E-2</v>
      </c>
      <c r="L604" s="9">
        <f t="shared" si="18"/>
        <v>369.70283000000001</v>
      </c>
      <c r="M604" s="9">
        <f>ROUND(L604*0.2124,2)</f>
        <v>78.52</v>
      </c>
      <c r="N604" s="9">
        <f t="shared" si="19"/>
        <v>291.18283000000002</v>
      </c>
    </row>
    <row r="605" spans="1:14" x14ac:dyDescent="0.35">
      <c r="A605" s="7" t="s">
        <v>688</v>
      </c>
      <c r="B605" s="8">
        <v>45873</v>
      </c>
      <c r="C605" s="7" t="s">
        <v>39</v>
      </c>
      <c r="D605" s="7" t="s">
        <v>53</v>
      </c>
      <c r="E605" s="7" t="s">
        <v>54</v>
      </c>
      <c r="F605" s="7" t="s">
        <v>48</v>
      </c>
      <c r="G605" s="7" t="s">
        <v>55</v>
      </c>
      <c r="H605" s="7" t="s">
        <v>108</v>
      </c>
      <c r="I605" s="7">
        <v>1</v>
      </c>
      <c r="J605" s="9">
        <v>1301.1500000000001</v>
      </c>
      <c r="K605" s="10">
        <v>6.5299999999999997E-2</v>
      </c>
      <c r="L605" s="9">
        <f t="shared" si="18"/>
        <v>1216.1849050000001</v>
      </c>
      <c r="M605" s="9">
        <f>ROUND(L605*0.6976,2)</f>
        <v>848.41</v>
      </c>
      <c r="N605" s="9">
        <f t="shared" si="19"/>
        <v>367.7749050000001</v>
      </c>
    </row>
    <row r="606" spans="1:14" x14ac:dyDescent="0.35">
      <c r="A606" s="7" t="s">
        <v>689</v>
      </c>
      <c r="B606" s="8">
        <v>45873</v>
      </c>
      <c r="C606" s="7" t="s">
        <v>46</v>
      </c>
      <c r="D606" s="7" t="s">
        <v>53</v>
      </c>
      <c r="E606" s="7" t="s">
        <v>58</v>
      </c>
      <c r="F606" s="7" t="s">
        <v>42</v>
      </c>
      <c r="G606" s="7" t="s">
        <v>43</v>
      </c>
      <c r="H606" s="7" t="s">
        <v>50</v>
      </c>
      <c r="I606" s="7">
        <v>39</v>
      </c>
      <c r="J606" s="9">
        <v>662.04</v>
      </c>
      <c r="K606" s="10">
        <v>0.24840000000000001</v>
      </c>
      <c r="L606" s="9">
        <f t="shared" si="18"/>
        <v>19405.981295999998</v>
      </c>
      <c r="M606" s="9">
        <f>ROUND(L606*0.7356,2)</f>
        <v>14275.04</v>
      </c>
      <c r="N606" s="9">
        <f t="shared" si="19"/>
        <v>5130.9412959999972</v>
      </c>
    </row>
    <row r="607" spans="1:14" x14ac:dyDescent="0.35">
      <c r="A607" s="7" t="s">
        <v>690</v>
      </c>
      <c r="B607" s="8">
        <v>45873</v>
      </c>
      <c r="C607" s="7" t="s">
        <v>52</v>
      </c>
      <c r="D607" s="7" t="s">
        <v>53</v>
      </c>
      <c r="E607" s="7" t="s">
        <v>54</v>
      </c>
      <c r="F607" s="7" t="s">
        <v>48</v>
      </c>
      <c r="G607" s="7" t="s">
        <v>55</v>
      </c>
      <c r="H607" s="7" t="s">
        <v>56</v>
      </c>
      <c r="I607" s="7">
        <v>1</v>
      </c>
      <c r="J607" s="9">
        <v>1286.07</v>
      </c>
      <c r="K607" s="10">
        <v>3.3700000000000001E-2</v>
      </c>
      <c r="L607" s="9">
        <f t="shared" si="18"/>
        <v>1242.729441</v>
      </c>
      <c r="M607" s="9">
        <f>ROUND(L607*0.7083,2)</f>
        <v>880.23</v>
      </c>
      <c r="N607" s="9">
        <f t="shared" si="19"/>
        <v>362.49944099999993</v>
      </c>
    </row>
    <row r="608" spans="1:14" x14ac:dyDescent="0.35">
      <c r="A608" s="7" t="s">
        <v>691</v>
      </c>
      <c r="B608" s="8">
        <v>45874</v>
      </c>
      <c r="C608" s="7" t="s">
        <v>46</v>
      </c>
      <c r="D608" s="7" t="s">
        <v>69</v>
      </c>
      <c r="E608" s="7" t="s">
        <v>70</v>
      </c>
      <c r="F608" s="7" t="s">
        <v>59</v>
      </c>
      <c r="G608" s="7" t="s">
        <v>49</v>
      </c>
      <c r="H608" s="7" t="s">
        <v>50</v>
      </c>
      <c r="I608" s="7">
        <v>5</v>
      </c>
      <c r="J608" s="9">
        <v>146.16999999999999</v>
      </c>
      <c r="K608" s="10">
        <v>0.11650000000000001</v>
      </c>
      <c r="L608" s="9">
        <f t="shared" si="18"/>
        <v>645.70597499999985</v>
      </c>
      <c r="M608" s="9">
        <f>ROUND(L608*0.2374,2)</f>
        <v>153.29</v>
      </c>
      <c r="N608" s="9">
        <f t="shared" si="19"/>
        <v>492.41597499999989</v>
      </c>
    </row>
    <row r="609" spans="1:14" x14ac:dyDescent="0.35">
      <c r="A609" s="7" t="s">
        <v>692</v>
      </c>
      <c r="B609" s="8">
        <v>45874</v>
      </c>
      <c r="C609" s="7" t="s">
        <v>52</v>
      </c>
      <c r="D609" s="7" t="s">
        <v>53</v>
      </c>
      <c r="E609" s="7" t="s">
        <v>58</v>
      </c>
      <c r="F609" s="7" t="s">
        <v>59</v>
      </c>
      <c r="G609" s="7" t="s">
        <v>49</v>
      </c>
      <c r="H609" s="7" t="s">
        <v>83</v>
      </c>
      <c r="I609" s="7">
        <v>4</v>
      </c>
      <c r="J609" s="9">
        <v>679.3</v>
      </c>
      <c r="K609" s="10">
        <v>0.10390000000000001</v>
      </c>
      <c r="L609" s="9">
        <f t="shared" si="18"/>
        <v>2434.88292</v>
      </c>
      <c r="M609" s="9">
        <f>ROUND(L609*0.6947,2)</f>
        <v>1691.51</v>
      </c>
      <c r="N609" s="9">
        <f t="shared" si="19"/>
        <v>743.37292000000002</v>
      </c>
    </row>
    <row r="610" spans="1:14" x14ac:dyDescent="0.35">
      <c r="A610" s="7" t="s">
        <v>693</v>
      </c>
      <c r="B610" s="8">
        <v>45874</v>
      </c>
      <c r="C610" s="7" t="s">
        <v>52</v>
      </c>
      <c r="D610" s="7" t="s">
        <v>40</v>
      </c>
      <c r="E610" s="7" t="s">
        <v>41</v>
      </c>
      <c r="F610" s="7" t="s">
        <v>59</v>
      </c>
      <c r="G610" s="7" t="s">
        <v>43</v>
      </c>
      <c r="H610" s="7" t="s">
        <v>71</v>
      </c>
      <c r="I610" s="7">
        <v>5</v>
      </c>
      <c r="J610" s="9">
        <v>381.8</v>
      </c>
      <c r="K610" s="10">
        <v>0.1216</v>
      </c>
      <c r="L610" s="9">
        <f t="shared" si="18"/>
        <v>1676.8655999999999</v>
      </c>
      <c r="M610" s="9">
        <f>ROUND(L610*0.6333,2)</f>
        <v>1061.96</v>
      </c>
      <c r="N610" s="9">
        <f t="shared" si="19"/>
        <v>614.90559999999982</v>
      </c>
    </row>
    <row r="611" spans="1:14" x14ac:dyDescent="0.35">
      <c r="A611" s="7" t="s">
        <v>694</v>
      </c>
      <c r="B611" s="8">
        <v>45874</v>
      </c>
      <c r="C611" s="7" t="s">
        <v>52</v>
      </c>
      <c r="D611" s="7" t="s">
        <v>40</v>
      </c>
      <c r="E611" s="7" t="s">
        <v>91</v>
      </c>
      <c r="F611" s="7" t="s">
        <v>59</v>
      </c>
      <c r="G611" s="7" t="s">
        <v>55</v>
      </c>
      <c r="H611" s="7" t="s">
        <v>56</v>
      </c>
      <c r="I611" s="7">
        <v>7</v>
      </c>
      <c r="J611" s="9">
        <v>128.72999999999999</v>
      </c>
      <c r="K611" s="10">
        <v>5.9200000000000003E-2</v>
      </c>
      <c r="L611" s="9">
        <f t="shared" si="18"/>
        <v>847.76428799999985</v>
      </c>
      <c r="M611" s="9">
        <f>ROUND(L611*0.6666,2)</f>
        <v>565.12</v>
      </c>
      <c r="N611" s="9">
        <f t="shared" si="19"/>
        <v>282.64428799999985</v>
      </c>
    </row>
    <row r="612" spans="1:14" x14ac:dyDescent="0.35">
      <c r="A612" s="7" t="s">
        <v>695</v>
      </c>
      <c r="B612" s="8">
        <v>45875</v>
      </c>
      <c r="C612" s="7" t="s">
        <v>52</v>
      </c>
      <c r="D612" s="7" t="s">
        <v>69</v>
      </c>
      <c r="E612" s="7" t="s">
        <v>70</v>
      </c>
      <c r="F612" s="7" t="s">
        <v>42</v>
      </c>
      <c r="G612" s="7" t="s">
        <v>49</v>
      </c>
      <c r="H612" s="7" t="s">
        <v>64</v>
      </c>
      <c r="I612" s="7">
        <v>18</v>
      </c>
      <c r="J612" s="9">
        <v>148.41</v>
      </c>
      <c r="K612" s="10">
        <v>0.13389999999999999</v>
      </c>
      <c r="L612" s="9">
        <f t="shared" si="18"/>
        <v>2313.6822179999999</v>
      </c>
      <c r="M612" s="9">
        <f>ROUND(L612*0.259,2)</f>
        <v>599.24</v>
      </c>
      <c r="N612" s="9">
        <f t="shared" si="19"/>
        <v>1714.4422179999999</v>
      </c>
    </row>
    <row r="613" spans="1:14" x14ac:dyDescent="0.35">
      <c r="A613" s="7" t="s">
        <v>696</v>
      </c>
      <c r="B613" s="8">
        <v>45875</v>
      </c>
      <c r="C613" s="7" t="s">
        <v>76</v>
      </c>
      <c r="D613" s="7" t="s">
        <v>66</v>
      </c>
      <c r="E613" s="7" t="s">
        <v>98</v>
      </c>
      <c r="F613" s="7" t="s">
        <v>42</v>
      </c>
      <c r="G613" s="7" t="s">
        <v>49</v>
      </c>
      <c r="H613" s="7" t="s">
        <v>151</v>
      </c>
      <c r="I613" s="7">
        <v>30</v>
      </c>
      <c r="J613" s="9">
        <v>27.71</v>
      </c>
      <c r="K613" s="10">
        <v>0.17330000000000001</v>
      </c>
      <c r="L613" s="9">
        <f t="shared" si="18"/>
        <v>687.23571000000004</v>
      </c>
      <c r="M613" s="9">
        <f>ROUND(L613*0.5928,2)</f>
        <v>407.39</v>
      </c>
      <c r="N613" s="9">
        <f t="shared" si="19"/>
        <v>279.84571000000005</v>
      </c>
    </row>
    <row r="614" spans="1:14" x14ac:dyDescent="0.35">
      <c r="A614" s="7" t="s">
        <v>697</v>
      </c>
      <c r="B614" s="8">
        <v>45875</v>
      </c>
      <c r="C614" s="7" t="s">
        <v>46</v>
      </c>
      <c r="D614" s="7" t="s">
        <v>66</v>
      </c>
      <c r="E614" s="7" t="s">
        <v>73</v>
      </c>
      <c r="F614" s="7" t="s">
        <v>48</v>
      </c>
      <c r="G614" s="7" t="s">
        <v>55</v>
      </c>
      <c r="H614" s="7" t="s">
        <v>74</v>
      </c>
      <c r="I614" s="7">
        <v>1</v>
      </c>
      <c r="J614" s="9">
        <v>39.659999999999997</v>
      </c>
      <c r="K614" s="10">
        <v>5.2299999999999999E-2</v>
      </c>
      <c r="L614" s="9">
        <f t="shared" si="18"/>
        <v>37.585781999999995</v>
      </c>
      <c r="M614" s="9">
        <f>ROUND(L614*0.6056,2)</f>
        <v>22.76</v>
      </c>
      <c r="N614" s="9">
        <f t="shared" si="19"/>
        <v>14.825781999999993</v>
      </c>
    </row>
    <row r="615" spans="1:14" x14ac:dyDescent="0.35">
      <c r="A615" s="7" t="s">
        <v>698</v>
      </c>
      <c r="B615" s="8">
        <v>45875</v>
      </c>
      <c r="C615" s="7" t="s">
        <v>39</v>
      </c>
      <c r="D615" s="7" t="s">
        <v>53</v>
      </c>
      <c r="E615" s="7" t="s">
        <v>54</v>
      </c>
      <c r="F615" s="7" t="s">
        <v>59</v>
      </c>
      <c r="G615" s="7" t="s">
        <v>49</v>
      </c>
      <c r="H615" s="7" t="s">
        <v>44</v>
      </c>
      <c r="I615" s="7">
        <v>10</v>
      </c>
      <c r="J615" s="9">
        <v>1296.54</v>
      </c>
      <c r="K615" s="10">
        <v>0.1249</v>
      </c>
      <c r="L615" s="9">
        <f t="shared" si="18"/>
        <v>11346.02154</v>
      </c>
      <c r="M615" s="9">
        <f>ROUND(L615*0.7084,2)</f>
        <v>8037.52</v>
      </c>
      <c r="N615" s="9">
        <f t="shared" si="19"/>
        <v>3308.5015399999993</v>
      </c>
    </row>
    <row r="616" spans="1:14" x14ac:dyDescent="0.35">
      <c r="A616" s="7" t="s">
        <v>699</v>
      </c>
      <c r="B616" s="8">
        <v>45875</v>
      </c>
      <c r="C616" s="7" t="s">
        <v>52</v>
      </c>
      <c r="D616" s="7" t="s">
        <v>53</v>
      </c>
      <c r="E616" s="7" t="s">
        <v>58</v>
      </c>
      <c r="F616" s="7" t="s">
        <v>42</v>
      </c>
      <c r="G616" s="7" t="s">
        <v>49</v>
      </c>
      <c r="H616" s="7" t="s">
        <v>64</v>
      </c>
      <c r="I616" s="7">
        <v>37</v>
      </c>
      <c r="J616" s="9">
        <v>692.77</v>
      </c>
      <c r="K616" s="10">
        <v>0.13519999999999999</v>
      </c>
      <c r="L616" s="9">
        <f t="shared" si="18"/>
        <v>22166.977351999998</v>
      </c>
      <c r="M616" s="9">
        <f>ROUND(L616*0.7043,2)</f>
        <v>15612.2</v>
      </c>
      <c r="N616" s="9">
        <f t="shared" si="19"/>
        <v>6554.7773519999973</v>
      </c>
    </row>
    <row r="617" spans="1:14" x14ac:dyDescent="0.35">
      <c r="A617" s="7" t="s">
        <v>700</v>
      </c>
      <c r="B617" s="8">
        <v>45875</v>
      </c>
      <c r="C617" s="7" t="s">
        <v>52</v>
      </c>
      <c r="D617" s="7" t="s">
        <v>69</v>
      </c>
      <c r="E617" s="7" t="s">
        <v>132</v>
      </c>
      <c r="F617" s="7" t="s">
        <v>48</v>
      </c>
      <c r="G617" s="7" t="s">
        <v>49</v>
      </c>
      <c r="H617" s="7" t="s">
        <v>71</v>
      </c>
      <c r="I617" s="7">
        <v>3</v>
      </c>
      <c r="J617" s="9">
        <v>78.44</v>
      </c>
      <c r="K617" s="10">
        <v>8.0000000000000002E-3</v>
      </c>
      <c r="L617" s="9">
        <f t="shared" si="18"/>
        <v>233.43743999999998</v>
      </c>
      <c r="M617" s="9">
        <f>ROUND(L617*0.217,2)</f>
        <v>50.66</v>
      </c>
      <c r="N617" s="9">
        <f t="shared" si="19"/>
        <v>182.77743999999998</v>
      </c>
    </row>
    <row r="618" spans="1:14" x14ac:dyDescent="0.35">
      <c r="A618" s="7" t="s">
        <v>701</v>
      </c>
      <c r="B618" s="8">
        <v>45876</v>
      </c>
      <c r="C618" s="7" t="s">
        <v>46</v>
      </c>
      <c r="D618" s="7" t="s">
        <v>53</v>
      </c>
      <c r="E618" s="7" t="s">
        <v>105</v>
      </c>
      <c r="F618" s="7" t="s">
        <v>59</v>
      </c>
      <c r="G618" s="7" t="s">
        <v>49</v>
      </c>
      <c r="H618" s="7" t="s">
        <v>95</v>
      </c>
      <c r="I618" s="7">
        <v>6</v>
      </c>
      <c r="J618" s="9">
        <v>424.08</v>
      </c>
      <c r="K618" s="10">
        <v>9.9400000000000002E-2</v>
      </c>
      <c r="L618" s="9">
        <f t="shared" si="18"/>
        <v>2291.5586880000001</v>
      </c>
      <c r="M618" s="9">
        <f>ROUND(L618*0.7335,2)</f>
        <v>1680.86</v>
      </c>
      <c r="N618" s="9">
        <f t="shared" si="19"/>
        <v>610.69868800000017</v>
      </c>
    </row>
    <row r="619" spans="1:14" x14ac:dyDescent="0.35">
      <c r="A619" s="7" t="s">
        <v>702</v>
      </c>
      <c r="B619" s="8">
        <v>45876</v>
      </c>
      <c r="C619" s="7" t="s">
        <v>39</v>
      </c>
      <c r="D619" s="7" t="s">
        <v>53</v>
      </c>
      <c r="E619" s="7" t="s">
        <v>105</v>
      </c>
      <c r="F619" s="7" t="s">
        <v>42</v>
      </c>
      <c r="G619" s="7" t="s">
        <v>49</v>
      </c>
      <c r="H619" s="7" t="s">
        <v>60</v>
      </c>
      <c r="I619" s="7">
        <v>11</v>
      </c>
      <c r="J619" s="9">
        <v>427.89</v>
      </c>
      <c r="K619" s="10">
        <v>0.11600000000000001</v>
      </c>
      <c r="L619" s="9">
        <f t="shared" si="18"/>
        <v>4160.8023599999997</v>
      </c>
      <c r="M619" s="9">
        <f>ROUND(L619*0.7079,2)</f>
        <v>2945.43</v>
      </c>
      <c r="N619" s="9">
        <f t="shared" si="19"/>
        <v>1215.3723599999998</v>
      </c>
    </row>
    <row r="620" spans="1:14" x14ac:dyDescent="0.35">
      <c r="A620" s="7" t="s">
        <v>703</v>
      </c>
      <c r="B620" s="8">
        <v>45876</v>
      </c>
      <c r="C620" s="7" t="s">
        <v>39</v>
      </c>
      <c r="D620" s="7" t="s">
        <v>40</v>
      </c>
      <c r="E620" s="7" t="s">
        <v>91</v>
      </c>
      <c r="F620" s="7" t="s">
        <v>59</v>
      </c>
      <c r="G620" s="7" t="s">
        <v>49</v>
      </c>
      <c r="H620" s="7" t="s">
        <v>44</v>
      </c>
      <c r="I620" s="7">
        <v>4</v>
      </c>
      <c r="J620" s="9">
        <v>120.65</v>
      </c>
      <c r="K620" s="10">
        <v>7.8399999999999997E-2</v>
      </c>
      <c r="L620" s="9">
        <f t="shared" si="18"/>
        <v>444.76416</v>
      </c>
      <c r="M620" s="9">
        <f>ROUND(L620*0.6386,2)</f>
        <v>284.02999999999997</v>
      </c>
      <c r="N620" s="9">
        <f t="shared" si="19"/>
        <v>160.73416000000003</v>
      </c>
    </row>
    <row r="621" spans="1:14" x14ac:dyDescent="0.35">
      <c r="A621" s="7" t="s">
        <v>704</v>
      </c>
      <c r="B621" s="8">
        <v>45877</v>
      </c>
      <c r="C621" s="7" t="s">
        <v>52</v>
      </c>
      <c r="D621" s="7" t="s">
        <v>66</v>
      </c>
      <c r="E621" s="7" t="s">
        <v>77</v>
      </c>
      <c r="F621" s="7" t="s">
        <v>42</v>
      </c>
      <c r="G621" s="7" t="s">
        <v>49</v>
      </c>
      <c r="H621" s="7" t="s">
        <v>64</v>
      </c>
      <c r="I621" s="7">
        <v>30</v>
      </c>
      <c r="J621" s="9">
        <v>94.37</v>
      </c>
      <c r="K621" s="10">
        <v>0.14460000000000001</v>
      </c>
      <c r="L621" s="9">
        <f t="shared" si="18"/>
        <v>2421.7229400000001</v>
      </c>
      <c r="M621" s="9">
        <f>ROUND(L621*0.5871,2)</f>
        <v>1421.79</v>
      </c>
      <c r="N621" s="9">
        <f t="shared" si="19"/>
        <v>999.93294000000014</v>
      </c>
    </row>
    <row r="622" spans="1:14" x14ac:dyDescent="0.35">
      <c r="A622" s="7" t="s">
        <v>705</v>
      </c>
      <c r="B622" s="8">
        <v>45878</v>
      </c>
      <c r="C622" s="7" t="s">
        <v>76</v>
      </c>
      <c r="D622" s="7" t="s">
        <v>53</v>
      </c>
      <c r="E622" s="7" t="s">
        <v>81</v>
      </c>
      <c r="F622" s="7" t="s">
        <v>59</v>
      </c>
      <c r="G622" s="7" t="s">
        <v>43</v>
      </c>
      <c r="H622" s="7" t="s">
        <v>151</v>
      </c>
      <c r="I622" s="7">
        <v>8</v>
      </c>
      <c r="J622" s="9">
        <v>1072.99</v>
      </c>
      <c r="K622" s="10">
        <v>0.1704</v>
      </c>
      <c r="L622" s="9">
        <f t="shared" si="18"/>
        <v>7121.2200320000002</v>
      </c>
      <c r="M622" s="9">
        <f>ROUND(L622*0.7085,2)</f>
        <v>5045.38</v>
      </c>
      <c r="N622" s="9">
        <f t="shared" si="19"/>
        <v>2075.8400320000001</v>
      </c>
    </row>
    <row r="623" spans="1:14" x14ac:dyDescent="0.35">
      <c r="A623" s="7" t="s">
        <v>706</v>
      </c>
      <c r="B623" s="8">
        <v>45878</v>
      </c>
      <c r="C623" s="7" t="s">
        <v>39</v>
      </c>
      <c r="D623" s="7" t="s">
        <v>53</v>
      </c>
      <c r="E623" s="7" t="s">
        <v>105</v>
      </c>
      <c r="F623" s="7" t="s">
        <v>48</v>
      </c>
      <c r="G623" s="7" t="s">
        <v>55</v>
      </c>
      <c r="H623" s="7" t="s">
        <v>108</v>
      </c>
      <c r="I623" s="7">
        <v>3</v>
      </c>
      <c r="J623" s="9">
        <v>454.63</v>
      </c>
      <c r="K623" s="10">
        <v>1.2800000000000001E-2</v>
      </c>
      <c r="L623" s="9">
        <f t="shared" si="18"/>
        <v>1346.4322079999997</v>
      </c>
      <c r="M623" s="9">
        <f>ROUND(L623*0.737,2)</f>
        <v>992.32</v>
      </c>
      <c r="N623" s="9">
        <f t="shared" si="19"/>
        <v>354.11220799999967</v>
      </c>
    </row>
    <row r="624" spans="1:14" x14ac:dyDescent="0.35">
      <c r="A624" s="7" t="s">
        <v>707</v>
      </c>
      <c r="B624" s="8">
        <v>45878</v>
      </c>
      <c r="C624" s="7" t="s">
        <v>76</v>
      </c>
      <c r="D624" s="7" t="s">
        <v>53</v>
      </c>
      <c r="E624" s="7" t="s">
        <v>105</v>
      </c>
      <c r="F624" s="7" t="s">
        <v>42</v>
      </c>
      <c r="G624" s="7" t="s">
        <v>43</v>
      </c>
      <c r="H624" s="7" t="s">
        <v>151</v>
      </c>
      <c r="I624" s="7">
        <v>18</v>
      </c>
      <c r="J624" s="9">
        <v>449.9</v>
      </c>
      <c r="K624" s="10">
        <v>0.16639999999999999</v>
      </c>
      <c r="L624" s="9">
        <f t="shared" si="18"/>
        <v>6750.6595200000002</v>
      </c>
      <c r="M624" s="9">
        <f>ROUND(L624*0.6837,2)</f>
        <v>4615.43</v>
      </c>
      <c r="N624" s="9">
        <f t="shared" si="19"/>
        <v>2135.2295199999999</v>
      </c>
    </row>
    <row r="625" spans="1:14" x14ac:dyDescent="0.35">
      <c r="A625" s="7" t="s">
        <v>708</v>
      </c>
      <c r="B625" s="8">
        <v>45879</v>
      </c>
      <c r="C625" s="7" t="s">
        <v>46</v>
      </c>
      <c r="D625" s="7" t="s">
        <v>69</v>
      </c>
      <c r="E625" s="7" t="s">
        <v>119</v>
      </c>
      <c r="F625" s="7" t="s">
        <v>42</v>
      </c>
      <c r="G625" s="7" t="s">
        <v>43</v>
      </c>
      <c r="H625" s="7" t="s">
        <v>50</v>
      </c>
      <c r="I625" s="7">
        <v>40</v>
      </c>
      <c r="J625" s="9">
        <v>188.42</v>
      </c>
      <c r="K625" s="10">
        <v>0.18279999999999999</v>
      </c>
      <c r="L625" s="9">
        <f t="shared" si="18"/>
        <v>6159.0729599999995</v>
      </c>
      <c r="M625" s="9">
        <f>ROUND(L625*0.2251,2)</f>
        <v>1386.41</v>
      </c>
      <c r="N625" s="9">
        <f t="shared" si="19"/>
        <v>4772.6629599999997</v>
      </c>
    </row>
    <row r="626" spans="1:14" x14ac:dyDescent="0.35">
      <c r="A626" s="7" t="s">
        <v>709</v>
      </c>
      <c r="B626" s="8">
        <v>45879</v>
      </c>
      <c r="C626" s="7" t="s">
        <v>52</v>
      </c>
      <c r="D626" s="7" t="s">
        <v>40</v>
      </c>
      <c r="E626" s="7" t="s">
        <v>62</v>
      </c>
      <c r="F626" s="7" t="s">
        <v>48</v>
      </c>
      <c r="G626" s="7" t="s">
        <v>55</v>
      </c>
      <c r="H626" s="7" t="s">
        <v>56</v>
      </c>
      <c r="I626" s="7">
        <v>3</v>
      </c>
      <c r="J626" s="9">
        <v>203.69</v>
      </c>
      <c r="K626" s="10">
        <v>5.8099999999999999E-2</v>
      </c>
      <c r="L626" s="9">
        <f t="shared" si="18"/>
        <v>575.56683299999986</v>
      </c>
      <c r="M626" s="9">
        <f>ROUND(L626*0.6149,2)</f>
        <v>353.92</v>
      </c>
      <c r="N626" s="9">
        <f t="shared" si="19"/>
        <v>221.64683299999984</v>
      </c>
    </row>
    <row r="627" spans="1:14" x14ac:dyDescent="0.35">
      <c r="A627" s="7" t="s">
        <v>710</v>
      </c>
      <c r="B627" s="8">
        <v>45879</v>
      </c>
      <c r="C627" s="7" t="s">
        <v>39</v>
      </c>
      <c r="D627" s="7" t="s">
        <v>53</v>
      </c>
      <c r="E627" s="7" t="s">
        <v>54</v>
      </c>
      <c r="F627" s="7" t="s">
        <v>48</v>
      </c>
      <c r="G627" s="7" t="s">
        <v>49</v>
      </c>
      <c r="H627" s="7" t="s">
        <v>44</v>
      </c>
      <c r="I627" s="7">
        <v>2</v>
      </c>
      <c r="J627" s="9">
        <v>1298.04</v>
      </c>
      <c r="K627" s="10">
        <v>7.7299999999999994E-2</v>
      </c>
      <c r="L627" s="9">
        <f t="shared" si="18"/>
        <v>2395.4030159999998</v>
      </c>
      <c r="M627" s="9">
        <f>ROUND(L627*0.7298,2)</f>
        <v>1748.17</v>
      </c>
      <c r="N627" s="9">
        <f t="shared" si="19"/>
        <v>647.23301599999968</v>
      </c>
    </row>
    <row r="628" spans="1:14" x14ac:dyDescent="0.35">
      <c r="A628" s="7" t="s">
        <v>711</v>
      </c>
      <c r="B628" s="8">
        <v>45879</v>
      </c>
      <c r="C628" s="7" t="s">
        <v>39</v>
      </c>
      <c r="D628" s="7" t="s">
        <v>40</v>
      </c>
      <c r="E628" s="7" t="s">
        <v>139</v>
      </c>
      <c r="F628" s="7" t="s">
        <v>48</v>
      </c>
      <c r="G628" s="7" t="s">
        <v>55</v>
      </c>
      <c r="H628" s="7" t="s">
        <v>108</v>
      </c>
      <c r="I628" s="7">
        <v>1</v>
      </c>
      <c r="J628" s="9">
        <v>336.31</v>
      </c>
      <c r="K628" s="10">
        <v>8.2000000000000007E-3</v>
      </c>
      <c r="L628" s="9">
        <f t="shared" si="18"/>
        <v>333.55225799999999</v>
      </c>
      <c r="M628" s="9">
        <f>ROUND(L628*0.6366,2)</f>
        <v>212.34</v>
      </c>
      <c r="N628" s="9">
        <f t="shared" si="19"/>
        <v>121.21225799999999</v>
      </c>
    </row>
    <row r="629" spans="1:14" x14ac:dyDescent="0.35">
      <c r="A629" s="7" t="s">
        <v>712</v>
      </c>
      <c r="B629" s="8">
        <v>45880</v>
      </c>
      <c r="C629" s="7" t="s">
        <v>46</v>
      </c>
      <c r="D629" s="7" t="s">
        <v>53</v>
      </c>
      <c r="E629" s="7" t="s">
        <v>105</v>
      </c>
      <c r="F629" s="7" t="s">
        <v>59</v>
      </c>
      <c r="G629" s="7" t="s">
        <v>49</v>
      </c>
      <c r="H629" s="7" t="s">
        <v>50</v>
      </c>
      <c r="I629" s="7">
        <v>3</v>
      </c>
      <c r="J629" s="9">
        <v>441.3</v>
      </c>
      <c r="K629" s="10">
        <v>0.104</v>
      </c>
      <c r="L629" s="9">
        <f t="shared" si="18"/>
        <v>1186.2144000000001</v>
      </c>
      <c r="M629" s="9">
        <f>ROUND(L629*0.6889,2)</f>
        <v>817.18</v>
      </c>
      <c r="N629" s="9">
        <f t="shared" si="19"/>
        <v>369.03440000000012</v>
      </c>
    </row>
    <row r="630" spans="1:14" x14ac:dyDescent="0.35">
      <c r="A630" s="7" t="s">
        <v>713</v>
      </c>
      <c r="B630" s="8">
        <v>45880</v>
      </c>
      <c r="C630" s="7" t="s">
        <v>46</v>
      </c>
      <c r="D630" s="7" t="s">
        <v>53</v>
      </c>
      <c r="E630" s="7" t="s">
        <v>58</v>
      </c>
      <c r="F630" s="7" t="s">
        <v>48</v>
      </c>
      <c r="G630" s="7" t="s">
        <v>55</v>
      </c>
      <c r="H630" s="7" t="s">
        <v>74</v>
      </c>
      <c r="I630" s="7">
        <v>3</v>
      </c>
      <c r="J630" s="9">
        <v>719.75</v>
      </c>
      <c r="K630" s="10">
        <v>4.4900000000000002E-2</v>
      </c>
      <c r="L630" s="9">
        <f t="shared" si="18"/>
        <v>2062.2996749999998</v>
      </c>
      <c r="M630" s="9">
        <f>ROUND(L630*0.7252,2)</f>
        <v>1495.58</v>
      </c>
      <c r="N630" s="9">
        <f t="shared" si="19"/>
        <v>566.71967499999982</v>
      </c>
    </row>
    <row r="631" spans="1:14" x14ac:dyDescent="0.35">
      <c r="A631" s="7" t="s">
        <v>714</v>
      </c>
      <c r="B631" s="8">
        <v>45880</v>
      </c>
      <c r="C631" s="7" t="s">
        <v>76</v>
      </c>
      <c r="D631" s="7" t="s">
        <v>66</v>
      </c>
      <c r="E631" s="7" t="s">
        <v>67</v>
      </c>
      <c r="F631" s="7" t="s">
        <v>48</v>
      </c>
      <c r="G631" s="7" t="s">
        <v>49</v>
      </c>
      <c r="H631" s="7" t="s">
        <v>151</v>
      </c>
      <c r="I631" s="7">
        <v>2</v>
      </c>
      <c r="J631" s="9">
        <v>83.33</v>
      </c>
      <c r="K631" s="10">
        <v>4.2900000000000001E-2</v>
      </c>
      <c r="L631" s="9">
        <f t="shared" si="18"/>
        <v>159.51028599999998</v>
      </c>
      <c r="M631" s="9">
        <f>ROUND(L631*0.6004,2)</f>
        <v>95.77</v>
      </c>
      <c r="N631" s="9">
        <f t="shared" si="19"/>
        <v>63.740285999999983</v>
      </c>
    </row>
    <row r="632" spans="1:14" x14ac:dyDescent="0.35">
      <c r="A632" s="7" t="s">
        <v>715</v>
      </c>
      <c r="B632" s="8">
        <v>45880</v>
      </c>
      <c r="C632" s="7" t="s">
        <v>52</v>
      </c>
      <c r="D632" s="7" t="s">
        <v>40</v>
      </c>
      <c r="E632" s="7" t="s">
        <v>139</v>
      </c>
      <c r="F632" s="7" t="s">
        <v>42</v>
      </c>
      <c r="G632" s="7" t="s">
        <v>43</v>
      </c>
      <c r="H632" s="7" t="s">
        <v>71</v>
      </c>
      <c r="I632" s="7">
        <v>32</v>
      </c>
      <c r="J632" s="9">
        <v>314.36</v>
      </c>
      <c r="K632" s="10">
        <v>0.18809999999999999</v>
      </c>
      <c r="L632" s="9">
        <f t="shared" si="18"/>
        <v>8167.3242880000007</v>
      </c>
      <c r="M632" s="9">
        <f>ROUND(L632*0.6569,2)</f>
        <v>5365.12</v>
      </c>
      <c r="N632" s="9">
        <f t="shared" si="19"/>
        <v>2802.2042880000008</v>
      </c>
    </row>
    <row r="633" spans="1:14" x14ac:dyDescent="0.35">
      <c r="A633" s="7" t="s">
        <v>716</v>
      </c>
      <c r="B633" s="8">
        <v>45880</v>
      </c>
      <c r="C633" s="7" t="s">
        <v>76</v>
      </c>
      <c r="D633" s="7" t="s">
        <v>53</v>
      </c>
      <c r="E633" s="7" t="s">
        <v>58</v>
      </c>
      <c r="F633" s="7" t="s">
        <v>48</v>
      </c>
      <c r="G633" s="7" t="s">
        <v>55</v>
      </c>
      <c r="H633" s="7" t="s">
        <v>78</v>
      </c>
      <c r="I633" s="7">
        <v>1</v>
      </c>
      <c r="J633" s="9">
        <v>713.78</v>
      </c>
      <c r="K633" s="10">
        <v>3.9899999999999998E-2</v>
      </c>
      <c r="L633" s="9">
        <f t="shared" si="18"/>
        <v>685.30017799999996</v>
      </c>
      <c r="M633" s="9">
        <f>ROUND(L633*0.7001,2)</f>
        <v>479.78</v>
      </c>
      <c r="N633" s="9">
        <f t="shared" si="19"/>
        <v>205.52017799999999</v>
      </c>
    </row>
    <row r="634" spans="1:14" x14ac:dyDescent="0.35">
      <c r="A634" s="7" t="s">
        <v>717</v>
      </c>
      <c r="B634" s="8">
        <v>45880</v>
      </c>
      <c r="C634" s="7" t="s">
        <v>46</v>
      </c>
      <c r="D634" s="7" t="s">
        <v>66</v>
      </c>
      <c r="E634" s="7" t="s">
        <v>98</v>
      </c>
      <c r="F634" s="7" t="s">
        <v>42</v>
      </c>
      <c r="G634" s="7" t="s">
        <v>43</v>
      </c>
      <c r="H634" s="7" t="s">
        <v>50</v>
      </c>
      <c r="I634" s="7">
        <v>15</v>
      </c>
      <c r="J634" s="9">
        <v>27.32</v>
      </c>
      <c r="K634" s="10">
        <v>0.1391</v>
      </c>
      <c r="L634" s="9">
        <f t="shared" si="18"/>
        <v>352.79682000000003</v>
      </c>
      <c r="M634" s="9">
        <f>ROUND(L634*0.5808,2)</f>
        <v>204.9</v>
      </c>
      <c r="N634" s="9">
        <f t="shared" si="19"/>
        <v>147.89682000000002</v>
      </c>
    </row>
    <row r="635" spans="1:14" x14ac:dyDescent="0.35">
      <c r="A635" s="7" t="s">
        <v>718</v>
      </c>
      <c r="B635" s="8">
        <v>45880</v>
      </c>
      <c r="C635" s="7" t="s">
        <v>76</v>
      </c>
      <c r="D635" s="7" t="s">
        <v>69</v>
      </c>
      <c r="E635" s="7" t="s">
        <v>70</v>
      </c>
      <c r="F635" s="7" t="s">
        <v>59</v>
      </c>
      <c r="G635" s="7" t="s">
        <v>49</v>
      </c>
      <c r="H635" s="7" t="s">
        <v>110</v>
      </c>
      <c r="I635" s="7">
        <v>4</v>
      </c>
      <c r="J635" s="9">
        <v>144.34</v>
      </c>
      <c r="K635" s="10">
        <v>0.1154</v>
      </c>
      <c r="L635" s="9">
        <f t="shared" si="18"/>
        <v>510.73265600000002</v>
      </c>
      <c r="M635" s="9">
        <f>ROUND(L635*0.266,2)</f>
        <v>135.85</v>
      </c>
      <c r="N635" s="9">
        <f t="shared" si="19"/>
        <v>374.882656</v>
      </c>
    </row>
    <row r="636" spans="1:14" x14ac:dyDescent="0.35">
      <c r="A636" s="7" t="s">
        <v>719</v>
      </c>
      <c r="B636" s="8">
        <v>45880</v>
      </c>
      <c r="C636" s="7" t="s">
        <v>46</v>
      </c>
      <c r="D636" s="7" t="s">
        <v>40</v>
      </c>
      <c r="E636" s="7" t="s">
        <v>47</v>
      </c>
      <c r="F636" s="7" t="s">
        <v>59</v>
      </c>
      <c r="G636" s="7" t="s">
        <v>49</v>
      </c>
      <c r="H636" s="7" t="s">
        <v>50</v>
      </c>
      <c r="I636" s="7">
        <v>5</v>
      </c>
      <c r="J636" s="9">
        <v>241.04</v>
      </c>
      <c r="K636" s="10">
        <v>8.4500000000000006E-2</v>
      </c>
      <c r="L636" s="9">
        <f t="shared" si="18"/>
        <v>1103.3606</v>
      </c>
      <c r="M636" s="9">
        <f>ROUND(L636*0.6331,2)</f>
        <v>698.54</v>
      </c>
      <c r="N636" s="9">
        <f t="shared" si="19"/>
        <v>404.82060000000001</v>
      </c>
    </row>
    <row r="637" spans="1:14" x14ac:dyDescent="0.35">
      <c r="A637" s="7" t="s">
        <v>720</v>
      </c>
      <c r="B637" s="8">
        <v>45881</v>
      </c>
      <c r="C637" s="7" t="s">
        <v>52</v>
      </c>
      <c r="D637" s="7" t="s">
        <v>53</v>
      </c>
      <c r="E637" s="7" t="s">
        <v>58</v>
      </c>
      <c r="F637" s="7" t="s">
        <v>59</v>
      </c>
      <c r="G637" s="7" t="s">
        <v>43</v>
      </c>
      <c r="H637" s="7" t="s">
        <v>83</v>
      </c>
      <c r="I637" s="7">
        <v>3</v>
      </c>
      <c r="J637" s="9">
        <v>676.41</v>
      </c>
      <c r="K637" s="10">
        <v>0.13750000000000001</v>
      </c>
      <c r="L637" s="9">
        <f t="shared" si="18"/>
        <v>1750.2108750000002</v>
      </c>
      <c r="M637" s="9">
        <f>ROUND(L637*0.6887,2)</f>
        <v>1205.3699999999999</v>
      </c>
      <c r="N637" s="9">
        <f t="shared" si="19"/>
        <v>544.84087500000032</v>
      </c>
    </row>
    <row r="638" spans="1:14" x14ac:dyDescent="0.35">
      <c r="A638" s="7" t="s">
        <v>721</v>
      </c>
      <c r="B638" s="8">
        <v>45881</v>
      </c>
      <c r="C638" s="7" t="s">
        <v>52</v>
      </c>
      <c r="D638" s="7" t="s">
        <v>66</v>
      </c>
      <c r="E638" s="7" t="s">
        <v>73</v>
      </c>
      <c r="F638" s="7" t="s">
        <v>42</v>
      </c>
      <c r="G638" s="7" t="s">
        <v>43</v>
      </c>
      <c r="H638" s="7" t="s">
        <v>71</v>
      </c>
      <c r="I638" s="7">
        <v>26</v>
      </c>
      <c r="J638" s="9">
        <v>38.130000000000003</v>
      </c>
      <c r="K638" s="10">
        <v>0.16789999999999999</v>
      </c>
      <c r="L638" s="9">
        <f t="shared" si="18"/>
        <v>824.92729800000018</v>
      </c>
      <c r="M638" s="9">
        <f>ROUND(L638*0.6016,2)</f>
        <v>496.28</v>
      </c>
      <c r="N638" s="9">
        <f t="shared" si="19"/>
        <v>328.64729800000021</v>
      </c>
    </row>
    <row r="639" spans="1:14" x14ac:dyDescent="0.35">
      <c r="A639" s="7" t="s">
        <v>722</v>
      </c>
      <c r="B639" s="8">
        <v>45881</v>
      </c>
      <c r="C639" s="7" t="s">
        <v>46</v>
      </c>
      <c r="D639" s="7" t="s">
        <v>66</v>
      </c>
      <c r="E639" s="7" t="s">
        <v>77</v>
      </c>
      <c r="F639" s="7" t="s">
        <v>59</v>
      </c>
      <c r="G639" s="7" t="s">
        <v>49</v>
      </c>
      <c r="H639" s="7" t="s">
        <v>95</v>
      </c>
      <c r="I639" s="7">
        <v>5</v>
      </c>
      <c r="J639" s="9">
        <v>96.09</v>
      </c>
      <c r="K639" s="10">
        <v>9.1700000000000004E-2</v>
      </c>
      <c r="L639" s="9">
        <f t="shared" si="18"/>
        <v>436.39273500000002</v>
      </c>
      <c r="M639" s="9">
        <f>ROUND(L639*0.5929,2)</f>
        <v>258.74</v>
      </c>
      <c r="N639" s="9">
        <f t="shared" si="19"/>
        <v>177.65273500000001</v>
      </c>
    </row>
    <row r="640" spans="1:14" x14ac:dyDescent="0.35">
      <c r="A640" s="7" t="s">
        <v>723</v>
      </c>
      <c r="B640" s="8">
        <v>45882</v>
      </c>
      <c r="C640" s="7" t="s">
        <v>76</v>
      </c>
      <c r="D640" s="7" t="s">
        <v>66</v>
      </c>
      <c r="E640" s="7" t="s">
        <v>67</v>
      </c>
      <c r="F640" s="7" t="s">
        <v>59</v>
      </c>
      <c r="G640" s="7" t="s">
        <v>55</v>
      </c>
      <c r="H640" s="7" t="s">
        <v>78</v>
      </c>
      <c r="I640" s="7">
        <v>5</v>
      </c>
      <c r="J640" s="9">
        <v>90.72</v>
      </c>
      <c r="K640" s="10">
        <v>8.3199999999999996E-2</v>
      </c>
      <c r="L640" s="9">
        <f t="shared" si="18"/>
        <v>415.86048000000005</v>
      </c>
      <c r="M640" s="9">
        <f>ROUND(L640*0.5543,2)</f>
        <v>230.51</v>
      </c>
      <c r="N640" s="9">
        <f t="shared" si="19"/>
        <v>185.35048000000006</v>
      </c>
    </row>
    <row r="641" spans="1:14" x14ac:dyDescent="0.35">
      <c r="A641" s="7" t="s">
        <v>724</v>
      </c>
      <c r="B641" s="8">
        <v>45882</v>
      </c>
      <c r="C641" s="7" t="s">
        <v>46</v>
      </c>
      <c r="D641" s="7" t="s">
        <v>69</v>
      </c>
      <c r="E641" s="7" t="s">
        <v>132</v>
      </c>
      <c r="F641" s="7" t="s">
        <v>59</v>
      </c>
      <c r="G641" s="7" t="s">
        <v>49</v>
      </c>
      <c r="H641" s="7" t="s">
        <v>50</v>
      </c>
      <c r="I641" s="7">
        <v>8</v>
      </c>
      <c r="J641" s="9">
        <v>77.72</v>
      </c>
      <c r="K641" s="10">
        <v>0.1008</v>
      </c>
      <c r="L641" s="9">
        <f t="shared" si="18"/>
        <v>559.086592</v>
      </c>
      <c r="M641" s="9">
        <f>ROUND(L641*0.2288,2)</f>
        <v>127.92</v>
      </c>
      <c r="N641" s="9">
        <f t="shared" si="19"/>
        <v>431.16659199999998</v>
      </c>
    </row>
    <row r="642" spans="1:14" x14ac:dyDescent="0.35">
      <c r="A642" s="7" t="s">
        <v>725</v>
      </c>
      <c r="B642" s="8">
        <v>45882</v>
      </c>
      <c r="C642" s="7" t="s">
        <v>52</v>
      </c>
      <c r="D642" s="7" t="s">
        <v>40</v>
      </c>
      <c r="E642" s="7" t="s">
        <v>91</v>
      </c>
      <c r="F642" s="7" t="s">
        <v>48</v>
      </c>
      <c r="G642" s="7" t="s">
        <v>55</v>
      </c>
      <c r="H642" s="7" t="s">
        <v>56</v>
      </c>
      <c r="I642" s="7">
        <v>1</v>
      </c>
      <c r="J642" s="9">
        <v>128.38999999999999</v>
      </c>
      <c r="K642" s="10">
        <v>2.1999999999999999E-2</v>
      </c>
      <c r="L642" s="9">
        <f t="shared" ref="L642:L705" si="20">I642*J642*(1-K642)</f>
        <v>125.56541999999999</v>
      </c>
      <c r="M642" s="9">
        <f>ROUND(L642*0.6657,2)</f>
        <v>83.59</v>
      </c>
      <c r="N642" s="9">
        <f t="shared" ref="N642:N705" si="21">L642-M642</f>
        <v>41.975419999999986</v>
      </c>
    </row>
    <row r="643" spans="1:14" x14ac:dyDescent="0.35">
      <c r="A643" s="7" t="s">
        <v>726</v>
      </c>
      <c r="B643" s="8">
        <v>45883</v>
      </c>
      <c r="C643" s="7" t="s">
        <v>52</v>
      </c>
      <c r="D643" s="7" t="s">
        <v>69</v>
      </c>
      <c r="E643" s="7" t="s">
        <v>132</v>
      </c>
      <c r="F643" s="7" t="s">
        <v>59</v>
      </c>
      <c r="G643" s="7" t="s">
        <v>49</v>
      </c>
      <c r="H643" s="7" t="s">
        <v>64</v>
      </c>
      <c r="I643" s="7">
        <v>10</v>
      </c>
      <c r="J643" s="9">
        <v>75.040000000000006</v>
      </c>
      <c r="K643" s="10">
        <v>0.111</v>
      </c>
      <c r="L643" s="9">
        <f t="shared" si="20"/>
        <v>667.10560000000009</v>
      </c>
      <c r="M643" s="9">
        <f>ROUND(L643*0.2107,2)</f>
        <v>140.56</v>
      </c>
      <c r="N643" s="9">
        <f t="shared" si="21"/>
        <v>526.54560000000015</v>
      </c>
    </row>
    <row r="644" spans="1:14" x14ac:dyDescent="0.35">
      <c r="A644" s="7" t="s">
        <v>727</v>
      </c>
      <c r="B644" s="8">
        <v>45883</v>
      </c>
      <c r="C644" s="7" t="s">
        <v>76</v>
      </c>
      <c r="D644" s="7" t="s">
        <v>66</v>
      </c>
      <c r="E644" s="7" t="s">
        <v>77</v>
      </c>
      <c r="F644" s="7" t="s">
        <v>48</v>
      </c>
      <c r="G644" s="7" t="s">
        <v>55</v>
      </c>
      <c r="H644" s="7" t="s">
        <v>78</v>
      </c>
      <c r="I644" s="7">
        <v>1</v>
      </c>
      <c r="J644" s="9">
        <v>100.72</v>
      </c>
      <c r="K644" s="10">
        <v>4.7199999999999999E-2</v>
      </c>
      <c r="L644" s="9">
        <f t="shared" si="20"/>
        <v>95.966015999999996</v>
      </c>
      <c r="M644" s="9">
        <f>ROUND(L644*0.5553,2)</f>
        <v>53.29</v>
      </c>
      <c r="N644" s="9">
        <f t="shared" si="21"/>
        <v>42.676015999999997</v>
      </c>
    </row>
    <row r="645" spans="1:14" x14ac:dyDescent="0.35">
      <c r="A645" s="7" t="s">
        <v>728</v>
      </c>
      <c r="B645" s="8">
        <v>45883</v>
      </c>
      <c r="C645" s="7" t="s">
        <v>52</v>
      </c>
      <c r="D645" s="7" t="s">
        <v>53</v>
      </c>
      <c r="E645" s="7" t="s">
        <v>58</v>
      </c>
      <c r="F645" s="7" t="s">
        <v>48</v>
      </c>
      <c r="G645" s="7" t="s">
        <v>55</v>
      </c>
      <c r="H645" s="7" t="s">
        <v>56</v>
      </c>
      <c r="I645" s="7">
        <v>1</v>
      </c>
      <c r="J645" s="9">
        <v>715.19</v>
      </c>
      <c r="K645" s="10">
        <v>2.5899999999999999E-2</v>
      </c>
      <c r="L645" s="9">
        <f t="shared" si="20"/>
        <v>696.66657900000007</v>
      </c>
      <c r="M645" s="9">
        <f>ROUND(L645*0.7167,2)</f>
        <v>499.3</v>
      </c>
      <c r="N645" s="9">
        <f t="shared" si="21"/>
        <v>197.36657900000006</v>
      </c>
    </row>
    <row r="646" spans="1:14" x14ac:dyDescent="0.35">
      <c r="A646" s="7" t="s">
        <v>729</v>
      </c>
      <c r="B646" s="8">
        <v>45884</v>
      </c>
      <c r="C646" s="7" t="s">
        <v>52</v>
      </c>
      <c r="D646" s="7" t="s">
        <v>40</v>
      </c>
      <c r="E646" s="7" t="s">
        <v>91</v>
      </c>
      <c r="F646" s="7" t="s">
        <v>59</v>
      </c>
      <c r="G646" s="7" t="s">
        <v>49</v>
      </c>
      <c r="H646" s="7" t="s">
        <v>83</v>
      </c>
      <c r="I646" s="7">
        <v>7</v>
      </c>
      <c r="J646" s="9">
        <v>123.02</v>
      </c>
      <c r="K646" s="10">
        <v>0.1105</v>
      </c>
      <c r="L646" s="9">
        <f t="shared" si="20"/>
        <v>765.98402999999996</v>
      </c>
      <c r="M646" s="9">
        <f>ROUND(L646*0.6654,2)</f>
        <v>509.69</v>
      </c>
      <c r="N646" s="9">
        <f t="shared" si="21"/>
        <v>256.29402999999996</v>
      </c>
    </row>
    <row r="647" spans="1:14" x14ac:dyDescent="0.35">
      <c r="A647" s="7" t="s">
        <v>730</v>
      </c>
      <c r="B647" s="8">
        <v>45884</v>
      </c>
      <c r="C647" s="7" t="s">
        <v>52</v>
      </c>
      <c r="D647" s="7" t="s">
        <v>66</v>
      </c>
      <c r="E647" s="7" t="s">
        <v>67</v>
      </c>
      <c r="F647" s="7" t="s">
        <v>59</v>
      </c>
      <c r="G647" s="7" t="s">
        <v>55</v>
      </c>
      <c r="H647" s="7" t="s">
        <v>56</v>
      </c>
      <c r="I647" s="7">
        <v>6</v>
      </c>
      <c r="J647" s="9">
        <v>87.77</v>
      </c>
      <c r="K647" s="10">
        <v>6.1400000000000003E-2</v>
      </c>
      <c r="L647" s="9">
        <f t="shared" si="20"/>
        <v>494.28553199999999</v>
      </c>
      <c r="M647" s="9">
        <f>ROUND(L647*0.6035,2)</f>
        <v>298.3</v>
      </c>
      <c r="N647" s="9">
        <f t="shared" si="21"/>
        <v>195.98553199999998</v>
      </c>
    </row>
    <row r="648" spans="1:14" x14ac:dyDescent="0.35">
      <c r="A648" s="7" t="s">
        <v>731</v>
      </c>
      <c r="B648" s="8">
        <v>45884</v>
      </c>
      <c r="C648" s="7" t="s">
        <v>46</v>
      </c>
      <c r="D648" s="7" t="s">
        <v>40</v>
      </c>
      <c r="E648" s="7" t="s">
        <v>139</v>
      </c>
      <c r="F648" s="7" t="s">
        <v>48</v>
      </c>
      <c r="G648" s="7" t="s">
        <v>49</v>
      </c>
      <c r="H648" s="7" t="s">
        <v>50</v>
      </c>
      <c r="I648" s="7">
        <v>2</v>
      </c>
      <c r="J648" s="9">
        <v>325.99</v>
      </c>
      <c r="K648" s="10">
        <v>3.39E-2</v>
      </c>
      <c r="L648" s="9">
        <f t="shared" si="20"/>
        <v>629.87787800000001</v>
      </c>
      <c r="M648" s="9">
        <f>ROUND(L648*0.6657,2)</f>
        <v>419.31</v>
      </c>
      <c r="N648" s="9">
        <f t="shared" si="21"/>
        <v>210.56787800000001</v>
      </c>
    </row>
    <row r="649" spans="1:14" x14ac:dyDescent="0.35">
      <c r="A649" s="7" t="s">
        <v>732</v>
      </c>
      <c r="B649" s="8">
        <v>45885</v>
      </c>
      <c r="C649" s="7" t="s">
        <v>46</v>
      </c>
      <c r="D649" s="7" t="s">
        <v>40</v>
      </c>
      <c r="E649" s="7" t="s">
        <v>47</v>
      </c>
      <c r="F649" s="7" t="s">
        <v>59</v>
      </c>
      <c r="G649" s="7" t="s">
        <v>49</v>
      </c>
      <c r="H649" s="7" t="s">
        <v>95</v>
      </c>
      <c r="I649" s="7">
        <v>8</v>
      </c>
      <c r="J649" s="9">
        <v>247.32</v>
      </c>
      <c r="K649" s="10">
        <v>0.1108</v>
      </c>
      <c r="L649" s="9">
        <f t="shared" si="20"/>
        <v>1759.335552</v>
      </c>
      <c r="M649" s="9">
        <f>ROUND(L649*0.6585,2)</f>
        <v>1158.52</v>
      </c>
      <c r="N649" s="9">
        <f t="shared" si="21"/>
        <v>600.81555200000003</v>
      </c>
    </row>
    <row r="650" spans="1:14" x14ac:dyDescent="0.35">
      <c r="A650" s="7" t="s">
        <v>733</v>
      </c>
      <c r="B650" s="8">
        <v>45885</v>
      </c>
      <c r="C650" s="7" t="s">
        <v>52</v>
      </c>
      <c r="D650" s="7" t="s">
        <v>40</v>
      </c>
      <c r="E650" s="7" t="s">
        <v>91</v>
      </c>
      <c r="F650" s="7" t="s">
        <v>48</v>
      </c>
      <c r="G650" s="7" t="s">
        <v>55</v>
      </c>
      <c r="H650" s="7" t="s">
        <v>56</v>
      </c>
      <c r="I650" s="7">
        <v>3</v>
      </c>
      <c r="J650" s="9">
        <v>126.97</v>
      </c>
      <c r="K650" s="10">
        <v>2.8500000000000001E-2</v>
      </c>
      <c r="L650" s="9">
        <f t="shared" si="20"/>
        <v>370.05406499999998</v>
      </c>
      <c r="M650" s="9">
        <f>ROUND(L650*0.6698,2)</f>
        <v>247.86</v>
      </c>
      <c r="N650" s="9">
        <f t="shared" si="21"/>
        <v>122.19406499999997</v>
      </c>
    </row>
    <row r="651" spans="1:14" x14ac:dyDescent="0.35">
      <c r="A651" s="7" t="s">
        <v>734</v>
      </c>
      <c r="B651" s="8">
        <v>45885</v>
      </c>
      <c r="C651" s="7" t="s">
        <v>39</v>
      </c>
      <c r="D651" s="7" t="s">
        <v>40</v>
      </c>
      <c r="E651" s="7" t="s">
        <v>139</v>
      </c>
      <c r="F651" s="7" t="s">
        <v>48</v>
      </c>
      <c r="G651" s="7" t="s">
        <v>55</v>
      </c>
      <c r="H651" s="7" t="s">
        <v>108</v>
      </c>
      <c r="I651" s="7">
        <v>2</v>
      </c>
      <c r="J651" s="9">
        <v>320.52999999999997</v>
      </c>
      <c r="K651" s="10">
        <v>5.2400000000000002E-2</v>
      </c>
      <c r="L651" s="9">
        <f t="shared" si="20"/>
        <v>607.46845599999995</v>
      </c>
      <c r="M651" s="9">
        <f>ROUND(L651*0.6375,2)</f>
        <v>387.26</v>
      </c>
      <c r="N651" s="9">
        <f t="shared" si="21"/>
        <v>220.20845599999996</v>
      </c>
    </row>
    <row r="652" spans="1:14" x14ac:dyDescent="0.35">
      <c r="A652" s="7" t="s">
        <v>735</v>
      </c>
      <c r="B652" s="8">
        <v>45885</v>
      </c>
      <c r="C652" s="7" t="s">
        <v>76</v>
      </c>
      <c r="D652" s="7" t="s">
        <v>69</v>
      </c>
      <c r="E652" s="7" t="s">
        <v>132</v>
      </c>
      <c r="F652" s="7" t="s">
        <v>59</v>
      </c>
      <c r="G652" s="7" t="s">
        <v>49</v>
      </c>
      <c r="H652" s="7" t="s">
        <v>151</v>
      </c>
      <c r="I652" s="7">
        <v>9</v>
      </c>
      <c r="J652" s="9">
        <v>76.47</v>
      </c>
      <c r="K652" s="10">
        <v>0.1024</v>
      </c>
      <c r="L652" s="9">
        <f t="shared" si="20"/>
        <v>617.75524799999994</v>
      </c>
      <c r="M652" s="9">
        <f>ROUND(L652*0.2622,2)</f>
        <v>161.97999999999999</v>
      </c>
      <c r="N652" s="9">
        <f t="shared" si="21"/>
        <v>455.77524799999992</v>
      </c>
    </row>
    <row r="653" spans="1:14" x14ac:dyDescent="0.35">
      <c r="A653" s="7" t="s">
        <v>736</v>
      </c>
      <c r="B653" s="8">
        <v>45887</v>
      </c>
      <c r="C653" s="7" t="s">
        <v>46</v>
      </c>
      <c r="D653" s="7" t="s">
        <v>69</v>
      </c>
      <c r="E653" s="7" t="s">
        <v>132</v>
      </c>
      <c r="F653" s="7" t="s">
        <v>48</v>
      </c>
      <c r="G653" s="7" t="s">
        <v>55</v>
      </c>
      <c r="H653" s="7" t="s">
        <v>74</v>
      </c>
      <c r="I653" s="7">
        <v>1</v>
      </c>
      <c r="J653" s="9">
        <v>76.510000000000005</v>
      </c>
      <c r="K653" s="10">
        <v>5.67E-2</v>
      </c>
      <c r="L653" s="9">
        <f t="shared" si="20"/>
        <v>72.171883000000008</v>
      </c>
      <c r="M653" s="9">
        <f>ROUND(L653*0.2356,2)</f>
        <v>17</v>
      </c>
      <c r="N653" s="9">
        <f t="shared" si="21"/>
        <v>55.171883000000008</v>
      </c>
    </row>
    <row r="654" spans="1:14" x14ac:dyDescent="0.35">
      <c r="A654" s="7" t="s">
        <v>737</v>
      </c>
      <c r="B654" s="8">
        <v>45887</v>
      </c>
      <c r="C654" s="7" t="s">
        <v>39</v>
      </c>
      <c r="D654" s="7" t="s">
        <v>66</v>
      </c>
      <c r="E654" s="7" t="s">
        <v>67</v>
      </c>
      <c r="F654" s="7" t="s">
        <v>48</v>
      </c>
      <c r="G654" s="7" t="s">
        <v>55</v>
      </c>
      <c r="H654" s="7" t="s">
        <v>108</v>
      </c>
      <c r="I654" s="7">
        <v>3</v>
      </c>
      <c r="J654" s="9">
        <v>89.65</v>
      </c>
      <c r="K654" s="10">
        <v>1.18E-2</v>
      </c>
      <c r="L654" s="9">
        <f t="shared" si="20"/>
        <v>265.77639000000005</v>
      </c>
      <c r="M654" s="9">
        <f>ROUND(L654*0.5761,2)</f>
        <v>153.11000000000001</v>
      </c>
      <c r="N654" s="9">
        <f t="shared" si="21"/>
        <v>112.66639000000004</v>
      </c>
    </row>
    <row r="655" spans="1:14" x14ac:dyDescent="0.35">
      <c r="A655" s="7" t="s">
        <v>738</v>
      </c>
      <c r="B655" s="8">
        <v>45887</v>
      </c>
      <c r="C655" s="7" t="s">
        <v>76</v>
      </c>
      <c r="D655" s="7" t="s">
        <v>66</v>
      </c>
      <c r="E655" s="7" t="s">
        <v>137</v>
      </c>
      <c r="F655" s="7" t="s">
        <v>48</v>
      </c>
      <c r="G655" s="7" t="s">
        <v>55</v>
      </c>
      <c r="H655" s="7" t="s">
        <v>78</v>
      </c>
      <c r="I655" s="7">
        <v>2</v>
      </c>
      <c r="J655" s="9">
        <v>157.19</v>
      </c>
      <c r="K655" s="10">
        <v>3.4700000000000002E-2</v>
      </c>
      <c r="L655" s="9">
        <f t="shared" si="20"/>
        <v>303.47101400000003</v>
      </c>
      <c r="M655" s="9">
        <f>ROUND(L655*0.5865,2)</f>
        <v>177.99</v>
      </c>
      <c r="N655" s="9">
        <f t="shared" si="21"/>
        <v>125.48101400000002</v>
      </c>
    </row>
    <row r="656" spans="1:14" x14ac:dyDescent="0.35">
      <c r="A656" s="7" t="s">
        <v>739</v>
      </c>
      <c r="B656" s="8">
        <v>45887</v>
      </c>
      <c r="C656" s="7" t="s">
        <v>39</v>
      </c>
      <c r="D656" s="7" t="s">
        <v>66</v>
      </c>
      <c r="E656" s="7" t="s">
        <v>137</v>
      </c>
      <c r="F656" s="7" t="s">
        <v>48</v>
      </c>
      <c r="G656" s="7" t="s">
        <v>55</v>
      </c>
      <c r="H656" s="7" t="s">
        <v>108</v>
      </c>
      <c r="I656" s="7">
        <v>2</v>
      </c>
      <c r="J656" s="9">
        <v>164.04</v>
      </c>
      <c r="K656" s="10">
        <v>5.96E-2</v>
      </c>
      <c r="L656" s="9">
        <f t="shared" si="20"/>
        <v>308.526432</v>
      </c>
      <c r="M656" s="9">
        <f>ROUND(L656*0.5716,2)</f>
        <v>176.35</v>
      </c>
      <c r="N656" s="9">
        <f t="shared" si="21"/>
        <v>132.17643200000001</v>
      </c>
    </row>
    <row r="657" spans="1:14" x14ac:dyDescent="0.35">
      <c r="A657" s="7" t="s">
        <v>740</v>
      </c>
      <c r="B657" s="8">
        <v>45888</v>
      </c>
      <c r="C657" s="7" t="s">
        <v>76</v>
      </c>
      <c r="D657" s="7" t="s">
        <v>66</v>
      </c>
      <c r="E657" s="7" t="s">
        <v>73</v>
      </c>
      <c r="F657" s="7" t="s">
        <v>42</v>
      </c>
      <c r="G657" s="7" t="s">
        <v>55</v>
      </c>
      <c r="H657" s="7" t="s">
        <v>78</v>
      </c>
      <c r="I657" s="7">
        <v>31</v>
      </c>
      <c r="J657" s="9">
        <v>37.79</v>
      </c>
      <c r="K657" s="10">
        <v>7.4499999999999997E-2</v>
      </c>
      <c r="L657" s="9">
        <f t="shared" si="20"/>
        <v>1084.2139950000001</v>
      </c>
      <c r="M657" s="9">
        <f>ROUND(L657*0.5914,2)</f>
        <v>641.20000000000005</v>
      </c>
      <c r="N657" s="9">
        <f t="shared" si="21"/>
        <v>443.01399500000002</v>
      </c>
    </row>
    <row r="658" spans="1:14" x14ac:dyDescent="0.35">
      <c r="A658" s="7" t="s">
        <v>741</v>
      </c>
      <c r="B658" s="8">
        <v>45888</v>
      </c>
      <c r="C658" s="7" t="s">
        <v>46</v>
      </c>
      <c r="D658" s="7" t="s">
        <v>40</v>
      </c>
      <c r="E658" s="7" t="s">
        <v>47</v>
      </c>
      <c r="F658" s="7" t="s">
        <v>42</v>
      </c>
      <c r="G658" s="7" t="s">
        <v>55</v>
      </c>
      <c r="H658" s="7" t="s">
        <v>74</v>
      </c>
      <c r="I658" s="7">
        <v>26</v>
      </c>
      <c r="J658" s="9">
        <v>240.28</v>
      </c>
      <c r="K658" s="10">
        <v>9.5200000000000007E-2</v>
      </c>
      <c r="L658" s="9">
        <f t="shared" si="20"/>
        <v>5652.5389439999999</v>
      </c>
      <c r="M658" s="9">
        <f>ROUND(L658*0.6681,2)</f>
        <v>3776.46</v>
      </c>
      <c r="N658" s="9">
        <f t="shared" si="21"/>
        <v>1876.0789439999999</v>
      </c>
    </row>
    <row r="659" spans="1:14" x14ac:dyDescent="0.35">
      <c r="A659" s="7" t="s">
        <v>742</v>
      </c>
      <c r="B659" s="8">
        <v>45888</v>
      </c>
      <c r="C659" s="7" t="s">
        <v>52</v>
      </c>
      <c r="D659" s="7" t="s">
        <v>69</v>
      </c>
      <c r="E659" s="7" t="s">
        <v>107</v>
      </c>
      <c r="F659" s="7" t="s">
        <v>42</v>
      </c>
      <c r="G659" s="7" t="s">
        <v>43</v>
      </c>
      <c r="H659" s="7" t="s">
        <v>83</v>
      </c>
      <c r="I659" s="7">
        <v>10</v>
      </c>
      <c r="J659" s="9">
        <v>60.09</v>
      </c>
      <c r="K659" s="10">
        <v>0.14380000000000001</v>
      </c>
      <c r="L659" s="9">
        <f t="shared" si="20"/>
        <v>514.49058000000002</v>
      </c>
      <c r="M659" s="9">
        <f>ROUND(L659*0.2403,2)</f>
        <v>123.63</v>
      </c>
      <c r="N659" s="9">
        <f t="shared" si="21"/>
        <v>390.86058000000003</v>
      </c>
    </row>
    <row r="660" spans="1:14" x14ac:dyDescent="0.35">
      <c r="A660" s="7" t="s">
        <v>743</v>
      </c>
      <c r="B660" s="8">
        <v>45888</v>
      </c>
      <c r="C660" s="7" t="s">
        <v>46</v>
      </c>
      <c r="D660" s="7" t="s">
        <v>69</v>
      </c>
      <c r="E660" s="7" t="s">
        <v>119</v>
      </c>
      <c r="F660" s="7" t="s">
        <v>59</v>
      </c>
      <c r="G660" s="7" t="s">
        <v>49</v>
      </c>
      <c r="H660" s="7" t="s">
        <v>50</v>
      </c>
      <c r="I660" s="7">
        <v>6</v>
      </c>
      <c r="J660" s="9">
        <v>196.25</v>
      </c>
      <c r="K660" s="10">
        <v>6.7000000000000004E-2</v>
      </c>
      <c r="L660" s="9">
        <f t="shared" si="20"/>
        <v>1098.6075000000001</v>
      </c>
      <c r="M660" s="9">
        <f>ROUND(L660*0.2101,2)</f>
        <v>230.82</v>
      </c>
      <c r="N660" s="9">
        <f t="shared" si="21"/>
        <v>867.78750000000014</v>
      </c>
    </row>
    <row r="661" spans="1:14" x14ac:dyDescent="0.35">
      <c r="A661" s="7" t="s">
        <v>744</v>
      </c>
      <c r="B661" s="8">
        <v>45888</v>
      </c>
      <c r="C661" s="7" t="s">
        <v>52</v>
      </c>
      <c r="D661" s="7" t="s">
        <v>69</v>
      </c>
      <c r="E661" s="7" t="s">
        <v>70</v>
      </c>
      <c r="F661" s="7" t="s">
        <v>59</v>
      </c>
      <c r="G661" s="7" t="s">
        <v>49</v>
      </c>
      <c r="H661" s="7" t="s">
        <v>83</v>
      </c>
      <c r="I661" s="7">
        <v>4</v>
      </c>
      <c r="J661" s="9">
        <v>147.21</v>
      </c>
      <c r="K661" s="10">
        <v>0.13619999999999999</v>
      </c>
      <c r="L661" s="9">
        <f t="shared" si="20"/>
        <v>508.63999200000001</v>
      </c>
      <c r="M661" s="9">
        <f>ROUND(L661*0.2184,2)</f>
        <v>111.09</v>
      </c>
      <c r="N661" s="9">
        <f t="shared" si="21"/>
        <v>397.54999199999997</v>
      </c>
    </row>
    <row r="662" spans="1:14" x14ac:dyDescent="0.35">
      <c r="A662" s="7" t="s">
        <v>745</v>
      </c>
      <c r="B662" s="8">
        <v>45889</v>
      </c>
      <c r="C662" s="7" t="s">
        <v>76</v>
      </c>
      <c r="D662" s="7" t="s">
        <v>53</v>
      </c>
      <c r="E662" s="7" t="s">
        <v>105</v>
      </c>
      <c r="F662" s="7" t="s">
        <v>48</v>
      </c>
      <c r="G662" s="7" t="s">
        <v>55</v>
      </c>
      <c r="H662" s="7" t="s">
        <v>78</v>
      </c>
      <c r="I662" s="7">
        <v>1</v>
      </c>
      <c r="J662" s="9">
        <v>451.18</v>
      </c>
      <c r="K662" s="10">
        <v>2.2800000000000001E-2</v>
      </c>
      <c r="L662" s="9">
        <f t="shared" si="20"/>
        <v>440.89309600000001</v>
      </c>
      <c r="M662" s="9">
        <f>ROUND(L662*0.6883,2)</f>
        <v>303.47000000000003</v>
      </c>
      <c r="N662" s="9">
        <f t="shared" si="21"/>
        <v>137.42309599999999</v>
      </c>
    </row>
    <row r="663" spans="1:14" x14ac:dyDescent="0.35">
      <c r="A663" s="7" t="s">
        <v>746</v>
      </c>
      <c r="B663" s="8">
        <v>45889</v>
      </c>
      <c r="C663" s="7" t="s">
        <v>39</v>
      </c>
      <c r="D663" s="7" t="s">
        <v>40</v>
      </c>
      <c r="E663" s="7" t="s">
        <v>139</v>
      </c>
      <c r="F663" s="7" t="s">
        <v>59</v>
      </c>
      <c r="G663" s="7" t="s">
        <v>55</v>
      </c>
      <c r="H663" s="7" t="s">
        <v>108</v>
      </c>
      <c r="I663" s="7">
        <v>5</v>
      </c>
      <c r="J663" s="9">
        <v>339.79</v>
      </c>
      <c r="K663" s="10">
        <v>3.8600000000000002E-2</v>
      </c>
      <c r="L663" s="9">
        <f t="shared" si="20"/>
        <v>1633.3705300000001</v>
      </c>
      <c r="M663" s="9">
        <f>ROUND(L663*0.6495,2)</f>
        <v>1060.8699999999999</v>
      </c>
      <c r="N663" s="9">
        <f t="shared" si="21"/>
        <v>572.50053000000025</v>
      </c>
    </row>
    <row r="664" spans="1:14" x14ac:dyDescent="0.35">
      <c r="A664" s="7" t="s">
        <v>747</v>
      </c>
      <c r="B664" s="8">
        <v>45889</v>
      </c>
      <c r="C664" s="7" t="s">
        <v>39</v>
      </c>
      <c r="D664" s="7" t="s">
        <v>69</v>
      </c>
      <c r="E664" s="7" t="s">
        <v>132</v>
      </c>
      <c r="F664" s="7" t="s">
        <v>48</v>
      </c>
      <c r="G664" s="7" t="s">
        <v>55</v>
      </c>
      <c r="H664" s="7" t="s">
        <v>108</v>
      </c>
      <c r="I664" s="7">
        <v>2</v>
      </c>
      <c r="J664" s="9">
        <v>77.22</v>
      </c>
      <c r="K664" s="10">
        <v>1.6799999999999999E-2</v>
      </c>
      <c r="L664" s="9">
        <f t="shared" si="20"/>
        <v>151.84540799999999</v>
      </c>
      <c r="M664" s="9">
        <f>ROUND(L664*0.2648,2)</f>
        <v>40.21</v>
      </c>
      <c r="N664" s="9">
        <f t="shared" si="21"/>
        <v>111.63540799999998</v>
      </c>
    </row>
    <row r="665" spans="1:14" x14ac:dyDescent="0.35">
      <c r="A665" s="7" t="s">
        <v>748</v>
      </c>
      <c r="B665" s="8">
        <v>45890</v>
      </c>
      <c r="C665" s="7" t="s">
        <v>39</v>
      </c>
      <c r="D665" s="7" t="s">
        <v>66</v>
      </c>
      <c r="E665" s="7" t="s">
        <v>137</v>
      </c>
      <c r="F665" s="7" t="s">
        <v>42</v>
      </c>
      <c r="G665" s="7" t="s">
        <v>55</v>
      </c>
      <c r="H665" s="7" t="s">
        <v>108</v>
      </c>
      <c r="I665" s="7">
        <v>16</v>
      </c>
      <c r="J665" s="9">
        <v>157.41999999999999</v>
      </c>
      <c r="K665" s="10">
        <v>9.6000000000000002E-2</v>
      </c>
      <c r="L665" s="9">
        <f t="shared" si="20"/>
        <v>2276.9228800000001</v>
      </c>
      <c r="M665" s="9">
        <f>ROUND(L665*0.5889,2)</f>
        <v>1340.88</v>
      </c>
      <c r="N665" s="9">
        <f t="shared" si="21"/>
        <v>936.04287999999997</v>
      </c>
    </row>
    <row r="666" spans="1:14" x14ac:dyDescent="0.35">
      <c r="A666" s="7" t="s">
        <v>749</v>
      </c>
      <c r="B666" s="8">
        <v>45890</v>
      </c>
      <c r="C666" s="7" t="s">
        <v>76</v>
      </c>
      <c r="D666" s="7" t="s">
        <v>53</v>
      </c>
      <c r="E666" s="7" t="s">
        <v>54</v>
      </c>
      <c r="F666" s="7" t="s">
        <v>42</v>
      </c>
      <c r="G666" s="7" t="s">
        <v>43</v>
      </c>
      <c r="H666" s="7" t="s">
        <v>151</v>
      </c>
      <c r="I666" s="7">
        <v>26</v>
      </c>
      <c r="J666" s="9">
        <v>1261.82</v>
      </c>
      <c r="K666" s="10">
        <v>0.18729999999999999</v>
      </c>
      <c r="L666" s="9">
        <f t="shared" si="20"/>
        <v>26662.508964000001</v>
      </c>
      <c r="M666" s="9">
        <f>ROUND(L666*0.6917,2)</f>
        <v>18442.46</v>
      </c>
      <c r="N666" s="9">
        <f t="shared" si="21"/>
        <v>8220.0489640000014</v>
      </c>
    </row>
    <row r="667" spans="1:14" x14ac:dyDescent="0.35">
      <c r="A667" s="7" t="s">
        <v>750</v>
      </c>
      <c r="B667" s="8">
        <v>45890</v>
      </c>
      <c r="C667" s="7" t="s">
        <v>76</v>
      </c>
      <c r="D667" s="7" t="s">
        <v>53</v>
      </c>
      <c r="E667" s="7" t="s">
        <v>81</v>
      </c>
      <c r="F667" s="7" t="s">
        <v>48</v>
      </c>
      <c r="G667" s="7" t="s">
        <v>55</v>
      </c>
      <c r="H667" s="7" t="s">
        <v>78</v>
      </c>
      <c r="I667" s="7">
        <v>1</v>
      </c>
      <c r="J667" s="9">
        <v>1082.0999999999999</v>
      </c>
      <c r="K667" s="10">
        <v>5.2299999999999999E-2</v>
      </c>
      <c r="L667" s="9">
        <f t="shared" si="20"/>
        <v>1025.5061699999999</v>
      </c>
      <c r="M667" s="9">
        <f>ROUND(L667*0.6994,2)</f>
        <v>717.24</v>
      </c>
      <c r="N667" s="9">
        <f t="shared" si="21"/>
        <v>308.26616999999987</v>
      </c>
    </row>
    <row r="668" spans="1:14" x14ac:dyDescent="0.35">
      <c r="A668" s="7" t="s">
        <v>751</v>
      </c>
      <c r="B668" s="8">
        <v>45890</v>
      </c>
      <c r="C668" s="7" t="s">
        <v>39</v>
      </c>
      <c r="D668" s="7" t="s">
        <v>66</v>
      </c>
      <c r="E668" s="7" t="s">
        <v>73</v>
      </c>
      <c r="F668" s="7" t="s">
        <v>42</v>
      </c>
      <c r="G668" s="7" t="s">
        <v>49</v>
      </c>
      <c r="H668" s="7" t="s">
        <v>44</v>
      </c>
      <c r="I668" s="7">
        <v>11</v>
      </c>
      <c r="J668" s="9">
        <v>39.049999999999997</v>
      </c>
      <c r="K668" s="10">
        <v>0.13139999999999999</v>
      </c>
      <c r="L668" s="9">
        <f t="shared" si="20"/>
        <v>373.10712999999998</v>
      </c>
      <c r="M668" s="9">
        <f>ROUND(L668*0.5506,2)</f>
        <v>205.43</v>
      </c>
      <c r="N668" s="9">
        <f t="shared" si="21"/>
        <v>167.67712999999998</v>
      </c>
    </row>
    <row r="669" spans="1:14" x14ac:dyDescent="0.35">
      <c r="A669" s="7" t="s">
        <v>752</v>
      </c>
      <c r="B669" s="8">
        <v>45890</v>
      </c>
      <c r="C669" s="7" t="s">
        <v>52</v>
      </c>
      <c r="D669" s="7" t="s">
        <v>40</v>
      </c>
      <c r="E669" s="7" t="s">
        <v>62</v>
      </c>
      <c r="F669" s="7" t="s">
        <v>48</v>
      </c>
      <c r="G669" s="7" t="s">
        <v>55</v>
      </c>
      <c r="H669" s="7" t="s">
        <v>56</v>
      </c>
      <c r="I669" s="7">
        <v>2</v>
      </c>
      <c r="J669" s="9">
        <v>203.15</v>
      </c>
      <c r="K669" s="10">
        <v>6.4299999999999996E-2</v>
      </c>
      <c r="L669" s="9">
        <f t="shared" si="20"/>
        <v>380.17491000000001</v>
      </c>
      <c r="M669" s="9">
        <f>ROUND(L669*0.6222,2)</f>
        <v>236.54</v>
      </c>
      <c r="N669" s="9">
        <f t="shared" si="21"/>
        <v>143.63491000000002</v>
      </c>
    </row>
    <row r="670" spans="1:14" x14ac:dyDescent="0.35">
      <c r="A670" s="7" t="s">
        <v>753</v>
      </c>
      <c r="B670" s="8">
        <v>45890</v>
      </c>
      <c r="C670" s="7" t="s">
        <v>76</v>
      </c>
      <c r="D670" s="7" t="s">
        <v>69</v>
      </c>
      <c r="E670" s="7" t="s">
        <v>132</v>
      </c>
      <c r="F670" s="7" t="s">
        <v>42</v>
      </c>
      <c r="G670" s="7" t="s">
        <v>49</v>
      </c>
      <c r="H670" s="7" t="s">
        <v>151</v>
      </c>
      <c r="I670" s="7">
        <v>29</v>
      </c>
      <c r="J670" s="9">
        <v>79.11</v>
      </c>
      <c r="K670" s="10">
        <v>0.1368</v>
      </c>
      <c r="L670" s="9">
        <f t="shared" si="20"/>
        <v>1980.3448080000001</v>
      </c>
      <c r="M670" s="9">
        <f>ROUND(L670*0.2409,2)</f>
        <v>477.07</v>
      </c>
      <c r="N670" s="9">
        <f t="shared" si="21"/>
        <v>1503.2748080000001</v>
      </c>
    </row>
    <row r="671" spans="1:14" x14ac:dyDescent="0.35">
      <c r="A671" s="7" t="s">
        <v>754</v>
      </c>
      <c r="B671" s="8">
        <v>45891</v>
      </c>
      <c r="C671" s="7" t="s">
        <v>46</v>
      </c>
      <c r="D671" s="7" t="s">
        <v>53</v>
      </c>
      <c r="E671" s="7" t="s">
        <v>58</v>
      </c>
      <c r="F671" s="7" t="s">
        <v>59</v>
      </c>
      <c r="G671" s="7" t="s">
        <v>49</v>
      </c>
      <c r="H671" s="7" t="s">
        <v>95</v>
      </c>
      <c r="I671" s="7">
        <v>5</v>
      </c>
      <c r="J671" s="9">
        <v>699.63</v>
      </c>
      <c r="K671" s="10">
        <v>9.6199999999999994E-2</v>
      </c>
      <c r="L671" s="9">
        <f t="shared" si="20"/>
        <v>3161.6279700000005</v>
      </c>
      <c r="M671" s="9">
        <f>ROUND(L671*0.7274,2)</f>
        <v>2299.77</v>
      </c>
      <c r="N671" s="9">
        <f t="shared" si="21"/>
        <v>861.85797000000048</v>
      </c>
    </row>
    <row r="672" spans="1:14" x14ac:dyDescent="0.35">
      <c r="A672" s="7" t="s">
        <v>755</v>
      </c>
      <c r="B672" s="8">
        <v>45891</v>
      </c>
      <c r="C672" s="7" t="s">
        <v>46</v>
      </c>
      <c r="D672" s="7" t="s">
        <v>40</v>
      </c>
      <c r="E672" s="7" t="s">
        <v>91</v>
      </c>
      <c r="F672" s="7" t="s">
        <v>48</v>
      </c>
      <c r="G672" s="7" t="s">
        <v>49</v>
      </c>
      <c r="H672" s="7" t="s">
        <v>95</v>
      </c>
      <c r="I672" s="7">
        <v>3</v>
      </c>
      <c r="J672" s="9">
        <v>120.34</v>
      </c>
      <c r="K672" s="10">
        <v>5.96E-2</v>
      </c>
      <c r="L672" s="9">
        <f t="shared" si="20"/>
        <v>339.50320799999997</v>
      </c>
      <c r="M672" s="9">
        <f>ROUND(L672*0.6113,2)</f>
        <v>207.54</v>
      </c>
      <c r="N672" s="9">
        <f t="shared" si="21"/>
        <v>131.96320799999998</v>
      </c>
    </row>
    <row r="673" spans="1:14" x14ac:dyDescent="0.35">
      <c r="A673" s="7" t="s">
        <v>756</v>
      </c>
      <c r="B673" s="8">
        <v>45891</v>
      </c>
      <c r="C673" s="7" t="s">
        <v>52</v>
      </c>
      <c r="D673" s="7" t="s">
        <v>69</v>
      </c>
      <c r="E673" s="7" t="s">
        <v>132</v>
      </c>
      <c r="F673" s="7" t="s">
        <v>59</v>
      </c>
      <c r="G673" s="7" t="s">
        <v>43</v>
      </c>
      <c r="H673" s="7" t="s">
        <v>71</v>
      </c>
      <c r="I673" s="7">
        <v>9</v>
      </c>
      <c r="J673" s="9">
        <v>78.77</v>
      </c>
      <c r="K673" s="10">
        <v>0.13059999999999999</v>
      </c>
      <c r="L673" s="9">
        <f t="shared" si="20"/>
        <v>616.34374199999991</v>
      </c>
      <c r="M673" s="9">
        <f>ROUND(L673*0.2694,2)</f>
        <v>166.04</v>
      </c>
      <c r="N673" s="9">
        <f t="shared" si="21"/>
        <v>450.30374199999994</v>
      </c>
    </row>
    <row r="674" spans="1:14" x14ac:dyDescent="0.35">
      <c r="A674" s="7" t="s">
        <v>757</v>
      </c>
      <c r="B674" s="8">
        <v>45891</v>
      </c>
      <c r="C674" s="7" t="s">
        <v>52</v>
      </c>
      <c r="D674" s="7" t="s">
        <v>66</v>
      </c>
      <c r="E674" s="7" t="s">
        <v>73</v>
      </c>
      <c r="F674" s="7" t="s">
        <v>59</v>
      </c>
      <c r="G674" s="7" t="s">
        <v>43</v>
      </c>
      <c r="H674" s="7" t="s">
        <v>83</v>
      </c>
      <c r="I674" s="7">
        <v>5</v>
      </c>
      <c r="J674" s="9">
        <v>36.979999999999997</v>
      </c>
      <c r="K674" s="10">
        <v>0.1646</v>
      </c>
      <c r="L674" s="9">
        <f t="shared" si="20"/>
        <v>154.46545999999998</v>
      </c>
      <c r="M674" s="9">
        <f>ROUND(L674*0.5919,2)</f>
        <v>91.43</v>
      </c>
      <c r="N674" s="9">
        <f t="shared" si="21"/>
        <v>63.035459999999972</v>
      </c>
    </row>
    <row r="675" spans="1:14" x14ac:dyDescent="0.35">
      <c r="A675" s="7" t="s">
        <v>758</v>
      </c>
      <c r="B675" s="8">
        <v>45892</v>
      </c>
      <c r="C675" s="7" t="s">
        <v>46</v>
      </c>
      <c r="D675" s="7" t="s">
        <v>53</v>
      </c>
      <c r="E675" s="7" t="s">
        <v>58</v>
      </c>
      <c r="F675" s="7" t="s">
        <v>42</v>
      </c>
      <c r="G675" s="7" t="s">
        <v>49</v>
      </c>
      <c r="H675" s="7" t="s">
        <v>95</v>
      </c>
      <c r="I675" s="7">
        <v>16</v>
      </c>
      <c r="J675" s="9">
        <v>662.09</v>
      </c>
      <c r="K675" s="10">
        <v>0.12089999999999999</v>
      </c>
      <c r="L675" s="9">
        <f t="shared" si="20"/>
        <v>9312.6931039999999</v>
      </c>
      <c r="M675" s="9">
        <f>ROUND(L675*0.7114,2)</f>
        <v>6625.05</v>
      </c>
      <c r="N675" s="9">
        <f t="shared" si="21"/>
        <v>2687.6431039999998</v>
      </c>
    </row>
    <row r="676" spans="1:14" x14ac:dyDescent="0.35">
      <c r="A676" s="7" t="s">
        <v>759</v>
      </c>
      <c r="B676" s="8">
        <v>45892</v>
      </c>
      <c r="C676" s="7" t="s">
        <v>46</v>
      </c>
      <c r="D676" s="7" t="s">
        <v>40</v>
      </c>
      <c r="E676" s="7" t="s">
        <v>139</v>
      </c>
      <c r="F676" s="7" t="s">
        <v>48</v>
      </c>
      <c r="G676" s="7" t="s">
        <v>55</v>
      </c>
      <c r="H676" s="7" t="s">
        <v>74</v>
      </c>
      <c r="I676" s="7">
        <v>3</v>
      </c>
      <c r="J676" s="9">
        <v>342.03</v>
      </c>
      <c r="K676" s="10">
        <v>1.3299999999999999E-2</v>
      </c>
      <c r="L676" s="9">
        <f t="shared" si="20"/>
        <v>1012.443003</v>
      </c>
      <c r="M676" s="9">
        <f>ROUND(L676*0.6178,2)</f>
        <v>625.49</v>
      </c>
      <c r="N676" s="9">
        <f t="shared" si="21"/>
        <v>386.95300299999997</v>
      </c>
    </row>
    <row r="677" spans="1:14" x14ac:dyDescent="0.35">
      <c r="A677" s="7" t="s">
        <v>760</v>
      </c>
      <c r="B677" s="8">
        <v>45892</v>
      </c>
      <c r="C677" s="7" t="s">
        <v>39</v>
      </c>
      <c r="D677" s="7" t="s">
        <v>69</v>
      </c>
      <c r="E677" s="7" t="s">
        <v>70</v>
      </c>
      <c r="F677" s="7" t="s">
        <v>48</v>
      </c>
      <c r="G677" s="7" t="s">
        <v>55</v>
      </c>
      <c r="H677" s="7" t="s">
        <v>108</v>
      </c>
      <c r="I677" s="7">
        <v>2</v>
      </c>
      <c r="J677" s="9">
        <v>152.30000000000001</v>
      </c>
      <c r="K677" s="10">
        <v>6.3399999999999998E-2</v>
      </c>
      <c r="L677" s="9">
        <f t="shared" si="20"/>
        <v>285.28836000000001</v>
      </c>
      <c r="M677" s="9">
        <f>ROUND(L677*0.2399,2)</f>
        <v>68.44</v>
      </c>
      <c r="N677" s="9">
        <f t="shared" si="21"/>
        <v>216.84836000000001</v>
      </c>
    </row>
    <row r="678" spans="1:14" x14ac:dyDescent="0.35">
      <c r="A678" s="7" t="s">
        <v>761</v>
      </c>
      <c r="B678" s="8">
        <v>45893</v>
      </c>
      <c r="C678" s="7" t="s">
        <v>46</v>
      </c>
      <c r="D678" s="7" t="s">
        <v>53</v>
      </c>
      <c r="E678" s="7" t="s">
        <v>54</v>
      </c>
      <c r="F678" s="7" t="s">
        <v>59</v>
      </c>
      <c r="G678" s="7" t="s">
        <v>55</v>
      </c>
      <c r="H678" s="7" t="s">
        <v>74</v>
      </c>
      <c r="I678" s="7">
        <v>10</v>
      </c>
      <c r="J678" s="9">
        <v>1307.1199999999999</v>
      </c>
      <c r="K678" s="10">
        <v>6.2399999999999997E-2</v>
      </c>
      <c r="L678" s="9">
        <f t="shared" si="20"/>
        <v>12255.557119999999</v>
      </c>
      <c r="M678" s="9">
        <f>ROUND(L678*0.7194,2)</f>
        <v>8816.65</v>
      </c>
      <c r="N678" s="9">
        <f t="shared" si="21"/>
        <v>3438.9071199999998</v>
      </c>
    </row>
    <row r="679" spans="1:14" x14ac:dyDescent="0.35">
      <c r="A679" s="7" t="s">
        <v>762</v>
      </c>
      <c r="B679" s="8">
        <v>45893</v>
      </c>
      <c r="C679" s="7" t="s">
        <v>46</v>
      </c>
      <c r="D679" s="7" t="s">
        <v>66</v>
      </c>
      <c r="E679" s="7" t="s">
        <v>137</v>
      </c>
      <c r="F679" s="7" t="s">
        <v>48</v>
      </c>
      <c r="G679" s="7" t="s">
        <v>55</v>
      </c>
      <c r="H679" s="7" t="s">
        <v>74</v>
      </c>
      <c r="I679" s="7">
        <v>3</v>
      </c>
      <c r="J679" s="9">
        <v>153.22</v>
      </c>
      <c r="K679" s="10">
        <v>6.2399999999999997E-2</v>
      </c>
      <c r="L679" s="9">
        <f t="shared" si="20"/>
        <v>430.97721599999994</v>
      </c>
      <c r="M679" s="9">
        <f>ROUND(L679*0.5578,2)</f>
        <v>240.4</v>
      </c>
      <c r="N679" s="9">
        <f t="shared" si="21"/>
        <v>190.57721599999994</v>
      </c>
    </row>
    <row r="680" spans="1:14" x14ac:dyDescent="0.35">
      <c r="A680" s="7" t="s">
        <v>763</v>
      </c>
      <c r="B680" s="8">
        <v>45893</v>
      </c>
      <c r="C680" s="7" t="s">
        <v>46</v>
      </c>
      <c r="D680" s="7" t="s">
        <v>53</v>
      </c>
      <c r="E680" s="7" t="s">
        <v>58</v>
      </c>
      <c r="F680" s="7" t="s">
        <v>48</v>
      </c>
      <c r="G680" s="7" t="s">
        <v>55</v>
      </c>
      <c r="H680" s="7" t="s">
        <v>74</v>
      </c>
      <c r="I680" s="7">
        <v>3</v>
      </c>
      <c r="J680" s="9">
        <v>726.9</v>
      </c>
      <c r="K680" s="10">
        <v>5.6800000000000003E-2</v>
      </c>
      <c r="L680" s="9">
        <f t="shared" si="20"/>
        <v>2056.8362400000001</v>
      </c>
      <c r="M680" s="9">
        <f>ROUND(L680*0.7201,2)</f>
        <v>1481.13</v>
      </c>
      <c r="N680" s="9">
        <f t="shared" si="21"/>
        <v>575.70623999999998</v>
      </c>
    </row>
    <row r="681" spans="1:14" x14ac:dyDescent="0.35">
      <c r="A681" s="7" t="s">
        <v>764</v>
      </c>
      <c r="B681" s="8">
        <v>45894</v>
      </c>
      <c r="C681" s="7" t="s">
        <v>46</v>
      </c>
      <c r="D681" s="7" t="s">
        <v>66</v>
      </c>
      <c r="E681" s="7" t="s">
        <v>77</v>
      </c>
      <c r="F681" s="7" t="s">
        <v>48</v>
      </c>
      <c r="G681" s="7" t="s">
        <v>55</v>
      </c>
      <c r="H681" s="7" t="s">
        <v>74</v>
      </c>
      <c r="I681" s="7">
        <v>2</v>
      </c>
      <c r="J681" s="9">
        <v>97.23</v>
      </c>
      <c r="K681" s="10">
        <v>2.46E-2</v>
      </c>
      <c r="L681" s="9">
        <f t="shared" si="20"/>
        <v>189.67628400000001</v>
      </c>
      <c r="M681" s="9">
        <f>ROUND(L681*0.5707,2)</f>
        <v>108.25</v>
      </c>
      <c r="N681" s="9">
        <f t="shared" si="21"/>
        <v>81.42628400000001</v>
      </c>
    </row>
    <row r="682" spans="1:14" x14ac:dyDescent="0.35">
      <c r="A682" s="7" t="s">
        <v>765</v>
      </c>
      <c r="B682" s="8">
        <v>45895</v>
      </c>
      <c r="C682" s="7" t="s">
        <v>76</v>
      </c>
      <c r="D682" s="7" t="s">
        <v>66</v>
      </c>
      <c r="E682" s="7" t="s">
        <v>98</v>
      </c>
      <c r="F682" s="7" t="s">
        <v>59</v>
      </c>
      <c r="G682" s="7" t="s">
        <v>55</v>
      </c>
      <c r="H682" s="7" t="s">
        <v>78</v>
      </c>
      <c r="I682" s="7">
        <v>8</v>
      </c>
      <c r="J682" s="9">
        <v>29.36</v>
      </c>
      <c r="K682" s="10">
        <v>6.7400000000000002E-2</v>
      </c>
      <c r="L682" s="9">
        <f t="shared" si="20"/>
        <v>219.04908799999998</v>
      </c>
      <c r="M682" s="9">
        <f>ROUND(L682*0.5792,2)</f>
        <v>126.87</v>
      </c>
      <c r="N682" s="9">
        <f t="shared" si="21"/>
        <v>92.179087999999979</v>
      </c>
    </row>
    <row r="683" spans="1:14" x14ac:dyDescent="0.35">
      <c r="A683" s="7" t="s">
        <v>766</v>
      </c>
      <c r="B683" s="8">
        <v>45895</v>
      </c>
      <c r="C683" s="7" t="s">
        <v>39</v>
      </c>
      <c r="D683" s="7" t="s">
        <v>40</v>
      </c>
      <c r="E683" s="7" t="s">
        <v>62</v>
      </c>
      <c r="F683" s="7" t="s">
        <v>48</v>
      </c>
      <c r="G683" s="7" t="s">
        <v>55</v>
      </c>
      <c r="H683" s="7" t="s">
        <v>108</v>
      </c>
      <c r="I683" s="7">
        <v>1</v>
      </c>
      <c r="J683" s="9">
        <v>202.81</v>
      </c>
      <c r="K683" s="10">
        <v>4.5600000000000002E-2</v>
      </c>
      <c r="L683" s="9">
        <f t="shared" si="20"/>
        <v>193.56186400000001</v>
      </c>
      <c r="M683" s="9">
        <f>ROUND(L683*0.6602,2)</f>
        <v>127.79</v>
      </c>
      <c r="N683" s="9">
        <f t="shared" si="21"/>
        <v>65.771864000000008</v>
      </c>
    </row>
    <row r="684" spans="1:14" x14ac:dyDescent="0.35">
      <c r="A684" s="7" t="s">
        <v>767</v>
      </c>
      <c r="B684" s="8">
        <v>45895</v>
      </c>
      <c r="C684" s="7" t="s">
        <v>52</v>
      </c>
      <c r="D684" s="7" t="s">
        <v>40</v>
      </c>
      <c r="E684" s="7" t="s">
        <v>47</v>
      </c>
      <c r="F684" s="7" t="s">
        <v>42</v>
      </c>
      <c r="G684" s="7" t="s">
        <v>43</v>
      </c>
      <c r="H684" s="7" t="s">
        <v>64</v>
      </c>
      <c r="I684" s="7">
        <v>12</v>
      </c>
      <c r="J684" s="9">
        <v>241.77</v>
      </c>
      <c r="K684" s="10">
        <v>0.13830000000000001</v>
      </c>
      <c r="L684" s="9">
        <f t="shared" si="20"/>
        <v>2499.9985080000001</v>
      </c>
      <c r="M684" s="9">
        <f>ROUND(L684*0.6419,2)</f>
        <v>1604.75</v>
      </c>
      <c r="N684" s="9">
        <f t="shared" si="21"/>
        <v>895.24850800000013</v>
      </c>
    </row>
    <row r="685" spans="1:14" x14ac:dyDescent="0.35">
      <c r="A685" s="7" t="s">
        <v>768</v>
      </c>
      <c r="B685" s="8">
        <v>45895</v>
      </c>
      <c r="C685" s="7" t="s">
        <v>76</v>
      </c>
      <c r="D685" s="7" t="s">
        <v>66</v>
      </c>
      <c r="E685" s="7" t="s">
        <v>98</v>
      </c>
      <c r="F685" s="7" t="s">
        <v>42</v>
      </c>
      <c r="G685" s="7" t="s">
        <v>43</v>
      </c>
      <c r="H685" s="7" t="s">
        <v>151</v>
      </c>
      <c r="I685" s="7">
        <v>37</v>
      </c>
      <c r="J685" s="9">
        <v>28.78</v>
      </c>
      <c r="K685" s="10">
        <v>0.1802</v>
      </c>
      <c r="L685" s="9">
        <f t="shared" si="20"/>
        <v>872.97222800000009</v>
      </c>
      <c r="M685" s="9">
        <f>ROUND(L685*0.5772,2)</f>
        <v>503.88</v>
      </c>
      <c r="N685" s="9">
        <f t="shared" si="21"/>
        <v>369.09222800000009</v>
      </c>
    </row>
    <row r="686" spans="1:14" x14ac:dyDescent="0.35">
      <c r="A686" s="7" t="s">
        <v>769</v>
      </c>
      <c r="B686" s="8">
        <v>45895</v>
      </c>
      <c r="C686" s="7" t="s">
        <v>76</v>
      </c>
      <c r="D686" s="7" t="s">
        <v>40</v>
      </c>
      <c r="E686" s="7" t="s">
        <v>62</v>
      </c>
      <c r="F686" s="7" t="s">
        <v>42</v>
      </c>
      <c r="G686" s="7" t="s">
        <v>49</v>
      </c>
      <c r="H686" s="7" t="s">
        <v>151</v>
      </c>
      <c r="I686" s="7">
        <v>35</v>
      </c>
      <c r="J686" s="9">
        <v>193.83</v>
      </c>
      <c r="K686" s="10">
        <v>0.1195</v>
      </c>
      <c r="L686" s="9">
        <f t="shared" si="20"/>
        <v>5973.356025000001</v>
      </c>
      <c r="M686" s="9">
        <f>ROUND(L686*0.6313,2)</f>
        <v>3770.98</v>
      </c>
      <c r="N686" s="9">
        <f t="shared" si="21"/>
        <v>2202.3760250000009</v>
      </c>
    </row>
    <row r="687" spans="1:14" x14ac:dyDescent="0.35">
      <c r="A687" s="7" t="s">
        <v>770</v>
      </c>
      <c r="B687" s="8">
        <v>45895</v>
      </c>
      <c r="C687" s="7" t="s">
        <v>39</v>
      </c>
      <c r="D687" s="7" t="s">
        <v>53</v>
      </c>
      <c r="E687" s="7" t="s">
        <v>105</v>
      </c>
      <c r="F687" s="7" t="s">
        <v>42</v>
      </c>
      <c r="G687" s="7" t="s">
        <v>43</v>
      </c>
      <c r="H687" s="7" t="s">
        <v>60</v>
      </c>
      <c r="I687" s="7">
        <v>19</v>
      </c>
      <c r="J687" s="9">
        <v>427.98</v>
      </c>
      <c r="K687" s="10">
        <v>0.15359999999999999</v>
      </c>
      <c r="L687" s="9">
        <f t="shared" si="20"/>
        <v>6882.6031680000015</v>
      </c>
      <c r="M687" s="9">
        <f>ROUND(L687*0.7109,2)</f>
        <v>4892.84</v>
      </c>
      <c r="N687" s="9">
        <f t="shared" si="21"/>
        <v>1989.7631680000013</v>
      </c>
    </row>
    <row r="688" spans="1:14" x14ac:dyDescent="0.35">
      <c r="A688" s="7" t="s">
        <v>771</v>
      </c>
      <c r="B688" s="8">
        <v>45896</v>
      </c>
      <c r="C688" s="7" t="s">
        <v>46</v>
      </c>
      <c r="D688" s="7" t="s">
        <v>40</v>
      </c>
      <c r="E688" s="7" t="s">
        <v>41</v>
      </c>
      <c r="F688" s="7" t="s">
        <v>59</v>
      </c>
      <c r="G688" s="7" t="s">
        <v>49</v>
      </c>
      <c r="H688" s="7" t="s">
        <v>50</v>
      </c>
      <c r="I688" s="7">
        <v>6</v>
      </c>
      <c r="J688" s="9">
        <v>396.85</v>
      </c>
      <c r="K688" s="10">
        <v>0.1178</v>
      </c>
      <c r="L688" s="9">
        <f t="shared" si="20"/>
        <v>2100.6064200000001</v>
      </c>
      <c r="M688" s="9">
        <f>ROUND(L688*0.6642,2)</f>
        <v>1395.22</v>
      </c>
      <c r="N688" s="9">
        <f t="shared" si="21"/>
        <v>705.38642000000004</v>
      </c>
    </row>
    <row r="689" spans="1:14" x14ac:dyDescent="0.35">
      <c r="A689" s="7" t="s">
        <v>772</v>
      </c>
      <c r="B689" s="8">
        <v>45896</v>
      </c>
      <c r="C689" s="7" t="s">
        <v>52</v>
      </c>
      <c r="D689" s="7" t="s">
        <v>53</v>
      </c>
      <c r="E689" s="7" t="s">
        <v>105</v>
      </c>
      <c r="F689" s="7" t="s">
        <v>48</v>
      </c>
      <c r="G689" s="7" t="s">
        <v>55</v>
      </c>
      <c r="H689" s="7" t="s">
        <v>56</v>
      </c>
      <c r="I689" s="7">
        <v>1</v>
      </c>
      <c r="J689" s="9">
        <v>454.23</v>
      </c>
      <c r="K689" s="10">
        <v>2.4799999999999999E-2</v>
      </c>
      <c r="L689" s="9">
        <f t="shared" si="20"/>
        <v>442.96509600000002</v>
      </c>
      <c r="M689" s="9">
        <f>ROUND(L689*0.7176,2)</f>
        <v>317.87</v>
      </c>
      <c r="N689" s="9">
        <f t="shared" si="21"/>
        <v>125.09509600000001</v>
      </c>
    </row>
    <row r="690" spans="1:14" x14ac:dyDescent="0.35">
      <c r="A690" s="7" t="s">
        <v>773</v>
      </c>
      <c r="B690" s="8">
        <v>45896</v>
      </c>
      <c r="C690" s="7" t="s">
        <v>39</v>
      </c>
      <c r="D690" s="7" t="s">
        <v>40</v>
      </c>
      <c r="E690" s="7" t="s">
        <v>41</v>
      </c>
      <c r="F690" s="7" t="s">
        <v>59</v>
      </c>
      <c r="G690" s="7" t="s">
        <v>43</v>
      </c>
      <c r="H690" s="7" t="s">
        <v>60</v>
      </c>
      <c r="I690" s="7">
        <v>4</v>
      </c>
      <c r="J690" s="9">
        <v>406.24</v>
      </c>
      <c r="K690" s="10">
        <v>0.12189999999999999</v>
      </c>
      <c r="L690" s="9">
        <f t="shared" si="20"/>
        <v>1426.8773759999999</v>
      </c>
      <c r="M690" s="9">
        <f>ROUND(L690*0.6471,2)</f>
        <v>923.33</v>
      </c>
      <c r="N690" s="9">
        <f t="shared" si="21"/>
        <v>503.54737599999987</v>
      </c>
    </row>
    <row r="691" spans="1:14" x14ac:dyDescent="0.35">
      <c r="A691" s="7" t="s">
        <v>774</v>
      </c>
      <c r="B691" s="8">
        <v>45897</v>
      </c>
      <c r="C691" s="7" t="s">
        <v>52</v>
      </c>
      <c r="D691" s="7" t="s">
        <v>53</v>
      </c>
      <c r="E691" s="7" t="s">
        <v>81</v>
      </c>
      <c r="F691" s="7" t="s">
        <v>59</v>
      </c>
      <c r="G691" s="7" t="s">
        <v>55</v>
      </c>
      <c r="H691" s="7" t="s">
        <v>56</v>
      </c>
      <c r="I691" s="7">
        <v>7</v>
      </c>
      <c r="J691" s="9">
        <v>1078.52</v>
      </c>
      <c r="K691" s="10">
        <v>5.4100000000000002E-2</v>
      </c>
      <c r="L691" s="9">
        <f t="shared" si="20"/>
        <v>7141.204475999999</v>
      </c>
      <c r="M691" s="9">
        <f>ROUND(L691*0.7193,2)</f>
        <v>5136.67</v>
      </c>
      <c r="N691" s="9">
        <f t="shared" si="21"/>
        <v>2004.5344759999989</v>
      </c>
    </row>
    <row r="692" spans="1:14" x14ac:dyDescent="0.35">
      <c r="A692" s="7" t="s">
        <v>775</v>
      </c>
      <c r="B692" s="8">
        <v>45897</v>
      </c>
      <c r="C692" s="7" t="s">
        <v>39</v>
      </c>
      <c r="D692" s="7" t="s">
        <v>53</v>
      </c>
      <c r="E692" s="7" t="s">
        <v>54</v>
      </c>
      <c r="F692" s="7" t="s">
        <v>42</v>
      </c>
      <c r="G692" s="7" t="s">
        <v>43</v>
      </c>
      <c r="H692" s="7" t="s">
        <v>60</v>
      </c>
      <c r="I692" s="7">
        <v>11</v>
      </c>
      <c r="J692" s="9">
        <v>1241.83</v>
      </c>
      <c r="K692" s="10">
        <v>0.16750000000000001</v>
      </c>
      <c r="L692" s="9">
        <f t="shared" si="20"/>
        <v>11372.058224999999</v>
      </c>
      <c r="M692" s="9">
        <f>ROUND(L692*0.7211,2)</f>
        <v>8200.39</v>
      </c>
      <c r="N692" s="9">
        <f t="shared" si="21"/>
        <v>3171.6682249999994</v>
      </c>
    </row>
    <row r="693" spans="1:14" x14ac:dyDescent="0.35">
      <c r="A693" s="7" t="s">
        <v>776</v>
      </c>
      <c r="B693" s="8">
        <v>45897</v>
      </c>
      <c r="C693" s="7" t="s">
        <v>52</v>
      </c>
      <c r="D693" s="7" t="s">
        <v>66</v>
      </c>
      <c r="E693" s="7" t="s">
        <v>77</v>
      </c>
      <c r="F693" s="7" t="s">
        <v>48</v>
      </c>
      <c r="G693" s="7" t="s">
        <v>49</v>
      </c>
      <c r="H693" s="7" t="s">
        <v>71</v>
      </c>
      <c r="I693" s="7">
        <v>3</v>
      </c>
      <c r="J693" s="9">
        <v>98.89</v>
      </c>
      <c r="K693" s="10">
        <v>9.2399999999999996E-2</v>
      </c>
      <c r="L693" s="9">
        <f t="shared" si="20"/>
        <v>269.25769200000002</v>
      </c>
      <c r="M693" s="9">
        <f>ROUND(L693*0.6034,2)</f>
        <v>162.47</v>
      </c>
      <c r="N693" s="9">
        <f t="shared" si="21"/>
        <v>106.78769200000002</v>
      </c>
    </row>
    <row r="694" spans="1:14" x14ac:dyDescent="0.35">
      <c r="A694" s="7" t="s">
        <v>777</v>
      </c>
      <c r="B694" s="8">
        <v>45898</v>
      </c>
      <c r="C694" s="7" t="s">
        <v>76</v>
      </c>
      <c r="D694" s="7" t="s">
        <v>40</v>
      </c>
      <c r="E694" s="7" t="s">
        <v>139</v>
      </c>
      <c r="F694" s="7" t="s">
        <v>59</v>
      </c>
      <c r="G694" s="7" t="s">
        <v>55</v>
      </c>
      <c r="H694" s="7" t="s">
        <v>78</v>
      </c>
      <c r="I694" s="7">
        <v>8</v>
      </c>
      <c r="J694" s="9">
        <v>339.21</v>
      </c>
      <c r="K694" s="10">
        <v>6.5100000000000005E-2</v>
      </c>
      <c r="L694" s="9">
        <f t="shared" si="20"/>
        <v>2537.0194319999996</v>
      </c>
      <c r="M694" s="9">
        <f>ROUND(L694*0.6319,2)</f>
        <v>1603.14</v>
      </c>
      <c r="N694" s="9">
        <f t="shared" si="21"/>
        <v>933.8794319999995</v>
      </c>
    </row>
    <row r="695" spans="1:14" x14ac:dyDescent="0.35">
      <c r="A695" s="7" t="s">
        <v>778</v>
      </c>
      <c r="B695" s="8">
        <v>45898</v>
      </c>
      <c r="C695" s="7" t="s">
        <v>46</v>
      </c>
      <c r="D695" s="7" t="s">
        <v>40</v>
      </c>
      <c r="E695" s="7" t="s">
        <v>139</v>
      </c>
      <c r="F695" s="7" t="s">
        <v>42</v>
      </c>
      <c r="G695" s="7" t="s">
        <v>43</v>
      </c>
      <c r="H695" s="7" t="s">
        <v>95</v>
      </c>
      <c r="I695" s="7">
        <v>11</v>
      </c>
      <c r="J695" s="9">
        <v>331.06</v>
      </c>
      <c r="K695" s="10">
        <v>0.17630000000000001</v>
      </c>
      <c r="L695" s="9">
        <f t="shared" si="20"/>
        <v>2999.635342</v>
      </c>
      <c r="M695" s="9">
        <f>ROUND(L695*0.6535,2)</f>
        <v>1960.26</v>
      </c>
      <c r="N695" s="9">
        <f t="shared" si="21"/>
        <v>1039.375342</v>
      </c>
    </row>
    <row r="696" spans="1:14" x14ac:dyDescent="0.35">
      <c r="A696" s="7" t="s">
        <v>779</v>
      </c>
      <c r="B696" s="8">
        <v>45899</v>
      </c>
      <c r="C696" s="7" t="s">
        <v>46</v>
      </c>
      <c r="D696" s="7" t="s">
        <v>66</v>
      </c>
      <c r="E696" s="7" t="s">
        <v>137</v>
      </c>
      <c r="F696" s="7" t="s">
        <v>48</v>
      </c>
      <c r="G696" s="7" t="s">
        <v>55</v>
      </c>
      <c r="H696" s="7" t="s">
        <v>74</v>
      </c>
      <c r="I696" s="7">
        <v>3</v>
      </c>
      <c r="J696" s="9">
        <v>154.24</v>
      </c>
      <c r="K696" s="10">
        <v>4.02E-2</v>
      </c>
      <c r="L696" s="9">
        <f t="shared" si="20"/>
        <v>444.11865600000004</v>
      </c>
      <c r="M696" s="9">
        <f>ROUND(L696*0.5889,2)</f>
        <v>261.54000000000002</v>
      </c>
      <c r="N696" s="9">
        <f t="shared" si="21"/>
        <v>182.57865600000002</v>
      </c>
    </row>
    <row r="697" spans="1:14" x14ac:dyDescent="0.35">
      <c r="A697" s="7" t="s">
        <v>780</v>
      </c>
      <c r="B697" s="8">
        <v>45899</v>
      </c>
      <c r="C697" s="7" t="s">
        <v>52</v>
      </c>
      <c r="D697" s="7" t="s">
        <v>69</v>
      </c>
      <c r="E697" s="7" t="s">
        <v>70</v>
      </c>
      <c r="F697" s="7" t="s">
        <v>42</v>
      </c>
      <c r="G697" s="7" t="s">
        <v>43</v>
      </c>
      <c r="H697" s="7" t="s">
        <v>83</v>
      </c>
      <c r="I697" s="7">
        <v>32</v>
      </c>
      <c r="J697" s="9">
        <v>142.96</v>
      </c>
      <c r="K697" s="10">
        <v>0.17399999999999999</v>
      </c>
      <c r="L697" s="9">
        <f t="shared" si="20"/>
        <v>3778.7187200000003</v>
      </c>
      <c r="M697" s="9">
        <f>ROUND(L697*0.2483,2)</f>
        <v>938.26</v>
      </c>
      <c r="N697" s="9">
        <f t="shared" si="21"/>
        <v>2840.4587200000005</v>
      </c>
    </row>
    <row r="698" spans="1:14" x14ac:dyDescent="0.35">
      <c r="A698" s="7" t="s">
        <v>781</v>
      </c>
      <c r="B698" s="8">
        <v>45900</v>
      </c>
      <c r="C698" s="7" t="s">
        <v>52</v>
      </c>
      <c r="D698" s="7" t="s">
        <v>69</v>
      </c>
      <c r="E698" s="7" t="s">
        <v>70</v>
      </c>
      <c r="F698" s="7" t="s">
        <v>59</v>
      </c>
      <c r="G698" s="7" t="s">
        <v>43</v>
      </c>
      <c r="H698" s="7" t="s">
        <v>64</v>
      </c>
      <c r="I698" s="7">
        <v>9</v>
      </c>
      <c r="J698" s="9">
        <v>150.66999999999999</v>
      </c>
      <c r="K698" s="10">
        <v>0.13339999999999999</v>
      </c>
      <c r="L698" s="9">
        <f t="shared" si="20"/>
        <v>1175.1355980000001</v>
      </c>
      <c r="M698" s="9">
        <f>ROUND(L698*0.2674,2)</f>
        <v>314.23</v>
      </c>
      <c r="N698" s="9">
        <f t="shared" si="21"/>
        <v>860.90559800000005</v>
      </c>
    </row>
    <row r="699" spans="1:14" x14ac:dyDescent="0.35">
      <c r="A699" s="7" t="s">
        <v>782</v>
      </c>
      <c r="B699" s="8">
        <v>45900</v>
      </c>
      <c r="C699" s="7" t="s">
        <v>39</v>
      </c>
      <c r="D699" s="7" t="s">
        <v>66</v>
      </c>
      <c r="E699" s="7" t="s">
        <v>73</v>
      </c>
      <c r="F699" s="7" t="s">
        <v>42</v>
      </c>
      <c r="G699" s="7" t="s">
        <v>43</v>
      </c>
      <c r="H699" s="7" t="s">
        <v>60</v>
      </c>
      <c r="I699" s="7">
        <v>31</v>
      </c>
      <c r="J699" s="9">
        <v>37.56</v>
      </c>
      <c r="K699" s="10">
        <v>0.2278</v>
      </c>
      <c r="L699" s="9">
        <f t="shared" si="20"/>
        <v>899.1187920000001</v>
      </c>
      <c r="M699" s="9">
        <f>ROUND(L699*0.5701,2)</f>
        <v>512.59</v>
      </c>
      <c r="N699" s="9">
        <f t="shared" si="21"/>
        <v>386.52879200000007</v>
      </c>
    </row>
    <row r="700" spans="1:14" x14ac:dyDescent="0.35">
      <c r="A700" s="7" t="s">
        <v>783</v>
      </c>
      <c r="B700" s="8">
        <v>45900</v>
      </c>
      <c r="C700" s="7" t="s">
        <v>46</v>
      </c>
      <c r="D700" s="7" t="s">
        <v>53</v>
      </c>
      <c r="E700" s="7" t="s">
        <v>58</v>
      </c>
      <c r="F700" s="7" t="s">
        <v>42</v>
      </c>
      <c r="G700" s="7" t="s">
        <v>43</v>
      </c>
      <c r="H700" s="7" t="s">
        <v>50</v>
      </c>
      <c r="I700" s="7">
        <v>22</v>
      </c>
      <c r="J700" s="9">
        <v>657.8</v>
      </c>
      <c r="K700" s="10">
        <v>0.17549999999999999</v>
      </c>
      <c r="L700" s="9">
        <f t="shared" si="20"/>
        <v>11931.834199999999</v>
      </c>
      <c r="M700" s="9">
        <f>ROUND(L700*0.7291,2)</f>
        <v>8699.5</v>
      </c>
      <c r="N700" s="9">
        <f t="shared" si="21"/>
        <v>3232.3341999999993</v>
      </c>
    </row>
    <row r="701" spans="1:14" x14ac:dyDescent="0.35">
      <c r="A701" s="7" t="s">
        <v>784</v>
      </c>
      <c r="B701" s="8">
        <v>45901</v>
      </c>
      <c r="C701" s="7" t="s">
        <v>52</v>
      </c>
      <c r="D701" s="7" t="s">
        <v>40</v>
      </c>
      <c r="E701" s="7" t="s">
        <v>41</v>
      </c>
      <c r="F701" s="7" t="s">
        <v>59</v>
      </c>
      <c r="G701" s="7" t="s">
        <v>49</v>
      </c>
      <c r="H701" s="7" t="s">
        <v>83</v>
      </c>
      <c r="I701" s="7">
        <v>10</v>
      </c>
      <c r="J701" s="9">
        <v>375.22</v>
      </c>
      <c r="K701" s="10">
        <v>8.7499999999999994E-2</v>
      </c>
      <c r="L701" s="9">
        <f t="shared" si="20"/>
        <v>3423.8825000000002</v>
      </c>
      <c r="M701" s="9">
        <f>ROUND(L701*0.6214,2)</f>
        <v>2127.6</v>
      </c>
      <c r="N701" s="9">
        <f t="shared" si="21"/>
        <v>1296.2825000000003</v>
      </c>
    </row>
    <row r="702" spans="1:14" x14ac:dyDescent="0.35">
      <c r="A702" s="7" t="s">
        <v>785</v>
      </c>
      <c r="B702" s="8">
        <v>45901</v>
      </c>
      <c r="C702" s="7" t="s">
        <v>76</v>
      </c>
      <c r="D702" s="7" t="s">
        <v>53</v>
      </c>
      <c r="E702" s="7" t="s">
        <v>81</v>
      </c>
      <c r="F702" s="7" t="s">
        <v>48</v>
      </c>
      <c r="G702" s="7" t="s">
        <v>49</v>
      </c>
      <c r="H702" s="7" t="s">
        <v>151</v>
      </c>
      <c r="I702" s="7">
        <v>3</v>
      </c>
      <c r="J702" s="9">
        <v>1100.26</v>
      </c>
      <c r="K702" s="10">
        <v>4.3E-3</v>
      </c>
      <c r="L702" s="9">
        <f t="shared" si="20"/>
        <v>3286.5866459999997</v>
      </c>
      <c r="M702" s="9">
        <f>ROUND(L702*0.7218,2)</f>
        <v>2372.2600000000002</v>
      </c>
      <c r="N702" s="9">
        <f t="shared" si="21"/>
        <v>914.32664599999953</v>
      </c>
    </row>
    <row r="703" spans="1:14" x14ac:dyDescent="0.35">
      <c r="A703" s="7" t="s">
        <v>786</v>
      </c>
      <c r="B703" s="8">
        <v>45901</v>
      </c>
      <c r="C703" s="7" t="s">
        <v>46</v>
      </c>
      <c r="D703" s="7" t="s">
        <v>69</v>
      </c>
      <c r="E703" s="7" t="s">
        <v>107</v>
      </c>
      <c r="F703" s="7" t="s">
        <v>59</v>
      </c>
      <c r="G703" s="7" t="s">
        <v>55</v>
      </c>
      <c r="H703" s="7" t="s">
        <v>74</v>
      </c>
      <c r="I703" s="7">
        <v>10</v>
      </c>
      <c r="J703" s="9">
        <v>59.99</v>
      </c>
      <c r="K703" s="10">
        <v>6.6000000000000003E-2</v>
      </c>
      <c r="L703" s="9">
        <f t="shared" si="20"/>
        <v>560.30659999999989</v>
      </c>
      <c r="M703" s="9">
        <f>ROUND(L703*0.2182,2)</f>
        <v>122.26</v>
      </c>
      <c r="N703" s="9">
        <f t="shared" si="21"/>
        <v>438.0465999999999</v>
      </c>
    </row>
    <row r="704" spans="1:14" x14ac:dyDescent="0.35">
      <c r="A704" s="7" t="s">
        <v>787</v>
      </c>
      <c r="B704" s="8">
        <v>45901</v>
      </c>
      <c r="C704" s="7" t="s">
        <v>46</v>
      </c>
      <c r="D704" s="7" t="s">
        <v>40</v>
      </c>
      <c r="E704" s="7" t="s">
        <v>47</v>
      </c>
      <c r="F704" s="7" t="s">
        <v>59</v>
      </c>
      <c r="G704" s="7" t="s">
        <v>49</v>
      </c>
      <c r="H704" s="7" t="s">
        <v>50</v>
      </c>
      <c r="I704" s="7">
        <v>10</v>
      </c>
      <c r="J704" s="9">
        <v>244.95</v>
      </c>
      <c r="K704" s="10">
        <v>0.1109</v>
      </c>
      <c r="L704" s="9">
        <f t="shared" si="20"/>
        <v>2177.8504499999999</v>
      </c>
      <c r="M704" s="9">
        <f>ROUND(L704*0.6116,2)</f>
        <v>1331.97</v>
      </c>
      <c r="N704" s="9">
        <f t="shared" si="21"/>
        <v>845.88044999999988</v>
      </c>
    </row>
    <row r="705" spans="1:14" x14ac:dyDescent="0.35">
      <c r="A705" s="7" t="s">
        <v>788</v>
      </c>
      <c r="B705" s="8">
        <v>45902</v>
      </c>
      <c r="C705" s="7" t="s">
        <v>52</v>
      </c>
      <c r="D705" s="7" t="s">
        <v>69</v>
      </c>
      <c r="E705" s="7" t="s">
        <v>70</v>
      </c>
      <c r="F705" s="7" t="s">
        <v>48</v>
      </c>
      <c r="G705" s="7" t="s">
        <v>55</v>
      </c>
      <c r="H705" s="7" t="s">
        <v>56</v>
      </c>
      <c r="I705" s="7">
        <v>1</v>
      </c>
      <c r="J705" s="9">
        <v>146.5</v>
      </c>
      <c r="K705" s="10">
        <v>4.9500000000000002E-2</v>
      </c>
      <c r="L705" s="9">
        <f t="shared" si="20"/>
        <v>139.24825000000001</v>
      </c>
      <c r="M705" s="9">
        <f>ROUND(L705*0.2662,2)</f>
        <v>37.07</v>
      </c>
      <c r="N705" s="9">
        <f t="shared" si="21"/>
        <v>102.17825000000002</v>
      </c>
    </row>
    <row r="706" spans="1:14" x14ac:dyDescent="0.35">
      <c r="A706" s="7" t="s">
        <v>789</v>
      </c>
      <c r="B706" s="8">
        <v>45902</v>
      </c>
      <c r="C706" s="7" t="s">
        <v>76</v>
      </c>
      <c r="D706" s="7" t="s">
        <v>53</v>
      </c>
      <c r="E706" s="7" t="s">
        <v>54</v>
      </c>
      <c r="F706" s="7" t="s">
        <v>48</v>
      </c>
      <c r="G706" s="7" t="s">
        <v>49</v>
      </c>
      <c r="H706" s="7" t="s">
        <v>110</v>
      </c>
      <c r="I706" s="7">
        <v>3</v>
      </c>
      <c r="J706" s="9">
        <v>1216.23</v>
      </c>
      <c r="K706" s="10">
        <v>3.7499999999999999E-2</v>
      </c>
      <c r="L706" s="9">
        <f t="shared" ref="L706:L769" si="22">I706*J706*(1-K706)</f>
        <v>3511.8641250000001</v>
      </c>
      <c r="M706" s="9">
        <f>ROUND(L706*0.7003,2)</f>
        <v>2459.36</v>
      </c>
      <c r="N706" s="9">
        <f t="shared" ref="N706:N769" si="23">L706-M706</f>
        <v>1052.5041249999999</v>
      </c>
    </row>
    <row r="707" spans="1:14" x14ac:dyDescent="0.35">
      <c r="A707" s="7" t="s">
        <v>790</v>
      </c>
      <c r="B707" s="8">
        <v>45902</v>
      </c>
      <c r="C707" s="7" t="s">
        <v>76</v>
      </c>
      <c r="D707" s="7" t="s">
        <v>40</v>
      </c>
      <c r="E707" s="7" t="s">
        <v>62</v>
      </c>
      <c r="F707" s="7" t="s">
        <v>48</v>
      </c>
      <c r="G707" s="7" t="s">
        <v>55</v>
      </c>
      <c r="H707" s="7" t="s">
        <v>78</v>
      </c>
      <c r="I707" s="7">
        <v>1</v>
      </c>
      <c r="J707" s="9">
        <v>198.51</v>
      </c>
      <c r="K707" s="10">
        <v>4.1500000000000002E-2</v>
      </c>
      <c r="L707" s="9">
        <f t="shared" si="22"/>
        <v>190.27183499999998</v>
      </c>
      <c r="M707" s="9">
        <f>ROUND(L707*0.6126,2)</f>
        <v>116.56</v>
      </c>
      <c r="N707" s="9">
        <f t="shared" si="23"/>
        <v>73.711834999999979</v>
      </c>
    </row>
    <row r="708" spans="1:14" x14ac:dyDescent="0.35">
      <c r="A708" s="7" t="s">
        <v>791</v>
      </c>
      <c r="B708" s="8">
        <v>45903</v>
      </c>
      <c r="C708" s="7" t="s">
        <v>39</v>
      </c>
      <c r="D708" s="7" t="s">
        <v>66</v>
      </c>
      <c r="E708" s="7" t="s">
        <v>67</v>
      </c>
      <c r="F708" s="7" t="s">
        <v>48</v>
      </c>
      <c r="G708" s="7" t="s">
        <v>55</v>
      </c>
      <c r="H708" s="7" t="s">
        <v>108</v>
      </c>
      <c r="I708" s="7">
        <v>3</v>
      </c>
      <c r="J708" s="9">
        <v>86.8</v>
      </c>
      <c r="K708" s="10">
        <v>5.11E-2</v>
      </c>
      <c r="L708" s="9">
        <f t="shared" si="22"/>
        <v>247.09355999999997</v>
      </c>
      <c r="M708" s="9">
        <f>ROUND(L708*0.6041,2)</f>
        <v>149.27000000000001</v>
      </c>
      <c r="N708" s="9">
        <f t="shared" si="23"/>
        <v>97.823559999999958</v>
      </c>
    </row>
    <row r="709" spans="1:14" x14ac:dyDescent="0.35">
      <c r="A709" s="7" t="s">
        <v>792</v>
      </c>
      <c r="B709" s="8">
        <v>45903</v>
      </c>
      <c r="C709" s="7" t="s">
        <v>46</v>
      </c>
      <c r="D709" s="7" t="s">
        <v>69</v>
      </c>
      <c r="E709" s="7" t="s">
        <v>70</v>
      </c>
      <c r="F709" s="7" t="s">
        <v>48</v>
      </c>
      <c r="G709" s="7" t="s">
        <v>55</v>
      </c>
      <c r="H709" s="7" t="s">
        <v>74</v>
      </c>
      <c r="I709" s="7">
        <v>2</v>
      </c>
      <c r="J709" s="9">
        <v>150.75</v>
      </c>
      <c r="K709" s="10">
        <v>7.7399999999999997E-2</v>
      </c>
      <c r="L709" s="9">
        <f t="shared" si="22"/>
        <v>278.16390000000001</v>
      </c>
      <c r="M709" s="9">
        <f>ROUND(L709*0.2192,2)</f>
        <v>60.97</v>
      </c>
      <c r="N709" s="9">
        <f t="shared" si="23"/>
        <v>217.19390000000001</v>
      </c>
    </row>
    <row r="710" spans="1:14" x14ac:dyDescent="0.35">
      <c r="A710" s="7" t="s">
        <v>793</v>
      </c>
      <c r="B710" s="8">
        <v>45903</v>
      </c>
      <c r="C710" s="7" t="s">
        <v>46</v>
      </c>
      <c r="D710" s="7" t="s">
        <v>40</v>
      </c>
      <c r="E710" s="7" t="s">
        <v>62</v>
      </c>
      <c r="F710" s="7" t="s">
        <v>59</v>
      </c>
      <c r="G710" s="7" t="s">
        <v>43</v>
      </c>
      <c r="H710" s="7" t="s">
        <v>50</v>
      </c>
      <c r="I710" s="7">
        <v>8</v>
      </c>
      <c r="J710" s="9">
        <v>193.42</v>
      </c>
      <c r="K710" s="10">
        <v>0.14369999999999999</v>
      </c>
      <c r="L710" s="9">
        <f t="shared" si="22"/>
        <v>1325.0043680000001</v>
      </c>
      <c r="M710" s="9">
        <f>ROUND(L710*0.6357,2)</f>
        <v>842.31</v>
      </c>
      <c r="N710" s="9">
        <f t="shared" si="23"/>
        <v>482.69436800000017</v>
      </c>
    </row>
    <row r="711" spans="1:14" x14ac:dyDescent="0.35">
      <c r="A711" s="7" t="s">
        <v>794</v>
      </c>
      <c r="B711" s="8">
        <v>45904</v>
      </c>
      <c r="C711" s="7" t="s">
        <v>46</v>
      </c>
      <c r="D711" s="7" t="s">
        <v>66</v>
      </c>
      <c r="E711" s="7" t="s">
        <v>67</v>
      </c>
      <c r="F711" s="7" t="s">
        <v>59</v>
      </c>
      <c r="G711" s="7" t="s">
        <v>49</v>
      </c>
      <c r="H711" s="7" t="s">
        <v>50</v>
      </c>
      <c r="I711" s="7">
        <v>9</v>
      </c>
      <c r="J711" s="9">
        <v>87.05</v>
      </c>
      <c r="K711" s="10">
        <v>9.5899999999999999E-2</v>
      </c>
      <c r="L711" s="9">
        <f t="shared" si="22"/>
        <v>708.31714499999998</v>
      </c>
      <c r="M711" s="9">
        <f>ROUND(L711*0.5682,2)</f>
        <v>402.47</v>
      </c>
      <c r="N711" s="9">
        <f t="shared" si="23"/>
        <v>305.84714499999995</v>
      </c>
    </row>
    <row r="712" spans="1:14" x14ac:dyDescent="0.35">
      <c r="A712" s="7" t="s">
        <v>795</v>
      </c>
      <c r="B712" s="8">
        <v>45904</v>
      </c>
      <c r="C712" s="7" t="s">
        <v>52</v>
      </c>
      <c r="D712" s="7" t="s">
        <v>69</v>
      </c>
      <c r="E712" s="7" t="s">
        <v>119</v>
      </c>
      <c r="F712" s="7" t="s">
        <v>59</v>
      </c>
      <c r="G712" s="7" t="s">
        <v>49</v>
      </c>
      <c r="H712" s="7" t="s">
        <v>83</v>
      </c>
      <c r="I712" s="7">
        <v>4</v>
      </c>
      <c r="J712" s="9">
        <v>191.74</v>
      </c>
      <c r="K712" s="10">
        <v>8.3500000000000005E-2</v>
      </c>
      <c r="L712" s="9">
        <f t="shared" si="22"/>
        <v>702.91884000000005</v>
      </c>
      <c r="M712" s="9">
        <f>ROUND(L712*0.2288,2)</f>
        <v>160.83000000000001</v>
      </c>
      <c r="N712" s="9">
        <f t="shared" si="23"/>
        <v>542.08884</v>
      </c>
    </row>
    <row r="713" spans="1:14" x14ac:dyDescent="0.35">
      <c r="A713" s="7" t="s">
        <v>796</v>
      </c>
      <c r="B713" s="8">
        <v>45904</v>
      </c>
      <c r="C713" s="7" t="s">
        <v>39</v>
      </c>
      <c r="D713" s="7" t="s">
        <v>66</v>
      </c>
      <c r="E713" s="7" t="s">
        <v>67</v>
      </c>
      <c r="F713" s="7" t="s">
        <v>42</v>
      </c>
      <c r="G713" s="7" t="s">
        <v>49</v>
      </c>
      <c r="H713" s="7" t="s">
        <v>44</v>
      </c>
      <c r="I713" s="7">
        <v>29</v>
      </c>
      <c r="J713" s="9">
        <v>84.26</v>
      </c>
      <c r="K713" s="10">
        <v>0.128</v>
      </c>
      <c r="L713" s="9">
        <f t="shared" si="22"/>
        <v>2130.7668800000001</v>
      </c>
      <c r="M713" s="9">
        <f>ROUND(L713*0.5743,2)</f>
        <v>1223.7</v>
      </c>
      <c r="N713" s="9">
        <f t="shared" si="23"/>
        <v>907.06688000000008</v>
      </c>
    </row>
    <row r="714" spans="1:14" x14ac:dyDescent="0.35">
      <c r="A714" s="7" t="s">
        <v>797</v>
      </c>
      <c r="B714" s="8">
        <v>45904</v>
      </c>
      <c r="C714" s="7" t="s">
        <v>52</v>
      </c>
      <c r="D714" s="7" t="s">
        <v>40</v>
      </c>
      <c r="E714" s="7" t="s">
        <v>47</v>
      </c>
      <c r="F714" s="7" t="s">
        <v>48</v>
      </c>
      <c r="G714" s="7" t="s">
        <v>55</v>
      </c>
      <c r="H714" s="7" t="s">
        <v>56</v>
      </c>
      <c r="I714" s="7">
        <v>2</v>
      </c>
      <c r="J714" s="9">
        <v>243.54</v>
      </c>
      <c r="K714" s="10">
        <v>6.4299999999999996E-2</v>
      </c>
      <c r="L714" s="9">
        <f t="shared" si="22"/>
        <v>455.76075599999996</v>
      </c>
      <c r="M714" s="9">
        <f>ROUND(L714*0.6691,2)</f>
        <v>304.95</v>
      </c>
      <c r="N714" s="9">
        <f t="shared" si="23"/>
        <v>150.81075599999997</v>
      </c>
    </row>
    <row r="715" spans="1:14" x14ac:dyDescent="0.35">
      <c r="A715" s="7" t="s">
        <v>798</v>
      </c>
      <c r="B715" s="8">
        <v>45904</v>
      </c>
      <c r="C715" s="7" t="s">
        <v>46</v>
      </c>
      <c r="D715" s="7" t="s">
        <v>53</v>
      </c>
      <c r="E715" s="7" t="s">
        <v>105</v>
      </c>
      <c r="F715" s="7" t="s">
        <v>59</v>
      </c>
      <c r="G715" s="7" t="s">
        <v>49</v>
      </c>
      <c r="H715" s="7" t="s">
        <v>95</v>
      </c>
      <c r="I715" s="7">
        <v>7</v>
      </c>
      <c r="J715" s="9">
        <v>437.52</v>
      </c>
      <c r="K715" s="10">
        <v>7.1400000000000005E-2</v>
      </c>
      <c r="L715" s="9">
        <f t="shared" si="22"/>
        <v>2843.9675039999997</v>
      </c>
      <c r="M715" s="9">
        <f>ROUND(L715*0.6997,2)</f>
        <v>1989.92</v>
      </c>
      <c r="N715" s="9">
        <f t="shared" si="23"/>
        <v>854.04750399999966</v>
      </c>
    </row>
    <row r="716" spans="1:14" x14ac:dyDescent="0.35">
      <c r="A716" s="7" t="s">
        <v>799</v>
      </c>
      <c r="B716" s="8">
        <v>45904</v>
      </c>
      <c r="C716" s="7" t="s">
        <v>52</v>
      </c>
      <c r="D716" s="7" t="s">
        <v>66</v>
      </c>
      <c r="E716" s="7" t="s">
        <v>137</v>
      </c>
      <c r="F716" s="7" t="s">
        <v>48</v>
      </c>
      <c r="G716" s="7" t="s">
        <v>55</v>
      </c>
      <c r="H716" s="7" t="s">
        <v>56</v>
      </c>
      <c r="I716" s="7">
        <v>2</v>
      </c>
      <c r="J716" s="9">
        <v>152.88999999999999</v>
      </c>
      <c r="K716" s="10">
        <v>3.0999999999999999E-3</v>
      </c>
      <c r="L716" s="9">
        <f t="shared" si="22"/>
        <v>304.83208199999996</v>
      </c>
      <c r="M716" s="9">
        <f>ROUND(L716*0.5646,2)</f>
        <v>172.11</v>
      </c>
      <c r="N716" s="9">
        <f t="shared" si="23"/>
        <v>132.72208199999994</v>
      </c>
    </row>
    <row r="717" spans="1:14" x14ac:dyDescent="0.35">
      <c r="A717" s="7" t="s">
        <v>800</v>
      </c>
      <c r="B717" s="8">
        <v>45904</v>
      </c>
      <c r="C717" s="7" t="s">
        <v>46</v>
      </c>
      <c r="D717" s="7" t="s">
        <v>40</v>
      </c>
      <c r="E717" s="7" t="s">
        <v>41</v>
      </c>
      <c r="F717" s="7" t="s">
        <v>48</v>
      </c>
      <c r="G717" s="7" t="s">
        <v>55</v>
      </c>
      <c r="H717" s="7" t="s">
        <v>74</v>
      </c>
      <c r="I717" s="7">
        <v>3</v>
      </c>
      <c r="J717" s="9">
        <v>390.3</v>
      </c>
      <c r="K717" s="10">
        <v>3.2300000000000002E-2</v>
      </c>
      <c r="L717" s="9">
        <f t="shared" si="22"/>
        <v>1133.0799300000001</v>
      </c>
      <c r="M717" s="9">
        <f>ROUND(L717*0.6691,2)</f>
        <v>758.14</v>
      </c>
      <c r="N717" s="9">
        <f t="shared" si="23"/>
        <v>374.93993000000012</v>
      </c>
    </row>
    <row r="718" spans="1:14" x14ac:dyDescent="0.35">
      <c r="A718" s="7" t="s">
        <v>801</v>
      </c>
      <c r="B718" s="8">
        <v>45905</v>
      </c>
      <c r="C718" s="7" t="s">
        <v>46</v>
      </c>
      <c r="D718" s="7" t="s">
        <v>53</v>
      </c>
      <c r="E718" s="7" t="s">
        <v>87</v>
      </c>
      <c r="F718" s="7" t="s">
        <v>42</v>
      </c>
      <c r="G718" s="7" t="s">
        <v>43</v>
      </c>
      <c r="H718" s="7" t="s">
        <v>95</v>
      </c>
      <c r="I718" s="7">
        <v>36</v>
      </c>
      <c r="J718" s="9">
        <v>908.49</v>
      </c>
      <c r="K718" s="10">
        <v>0.18909999999999999</v>
      </c>
      <c r="L718" s="9">
        <f t="shared" si="22"/>
        <v>26521.003475999998</v>
      </c>
      <c r="M718" s="9">
        <f>ROUND(L718*0.7258,2)</f>
        <v>19248.939999999999</v>
      </c>
      <c r="N718" s="9">
        <f t="shared" si="23"/>
        <v>7272.0634759999994</v>
      </c>
    </row>
    <row r="719" spans="1:14" x14ac:dyDescent="0.35">
      <c r="A719" s="7" t="s">
        <v>802</v>
      </c>
      <c r="B719" s="8">
        <v>45906</v>
      </c>
      <c r="C719" s="7" t="s">
        <v>46</v>
      </c>
      <c r="D719" s="7" t="s">
        <v>40</v>
      </c>
      <c r="E719" s="7" t="s">
        <v>139</v>
      </c>
      <c r="F719" s="7" t="s">
        <v>48</v>
      </c>
      <c r="G719" s="7" t="s">
        <v>55</v>
      </c>
      <c r="H719" s="7" t="s">
        <v>74</v>
      </c>
      <c r="I719" s="7">
        <v>1</v>
      </c>
      <c r="J719" s="9">
        <v>320.89</v>
      </c>
      <c r="K719" s="10">
        <v>5.0299999999999997E-2</v>
      </c>
      <c r="L719" s="9">
        <f t="shared" si="22"/>
        <v>304.749233</v>
      </c>
      <c r="M719" s="9">
        <f>ROUND(L719*0.6596,2)</f>
        <v>201.01</v>
      </c>
      <c r="N719" s="9">
        <f t="shared" si="23"/>
        <v>103.73923300000001</v>
      </c>
    </row>
    <row r="720" spans="1:14" x14ac:dyDescent="0.35">
      <c r="A720" s="7" t="s">
        <v>803</v>
      </c>
      <c r="B720" s="8">
        <v>45906</v>
      </c>
      <c r="C720" s="7" t="s">
        <v>52</v>
      </c>
      <c r="D720" s="7" t="s">
        <v>66</v>
      </c>
      <c r="E720" s="7" t="s">
        <v>77</v>
      </c>
      <c r="F720" s="7" t="s">
        <v>48</v>
      </c>
      <c r="G720" s="7" t="s">
        <v>49</v>
      </c>
      <c r="H720" s="7" t="s">
        <v>71</v>
      </c>
      <c r="I720" s="7">
        <v>2</v>
      </c>
      <c r="J720" s="9">
        <v>94.25</v>
      </c>
      <c r="K720" s="10">
        <v>5.6399999999999999E-2</v>
      </c>
      <c r="L720" s="9">
        <f t="shared" si="22"/>
        <v>177.86859999999999</v>
      </c>
      <c r="M720" s="9">
        <f>ROUND(L720*0.5985,2)</f>
        <v>106.45</v>
      </c>
      <c r="N720" s="9">
        <f t="shared" si="23"/>
        <v>71.418599999999984</v>
      </c>
    </row>
    <row r="721" spans="1:14" x14ac:dyDescent="0.35">
      <c r="A721" s="7" t="s">
        <v>804</v>
      </c>
      <c r="B721" s="8">
        <v>45906</v>
      </c>
      <c r="C721" s="7" t="s">
        <v>52</v>
      </c>
      <c r="D721" s="7" t="s">
        <v>40</v>
      </c>
      <c r="E721" s="7" t="s">
        <v>62</v>
      </c>
      <c r="F721" s="7" t="s">
        <v>59</v>
      </c>
      <c r="G721" s="7" t="s">
        <v>49</v>
      </c>
      <c r="H721" s="7" t="s">
        <v>64</v>
      </c>
      <c r="I721" s="7">
        <v>9</v>
      </c>
      <c r="J721" s="9">
        <v>190.99</v>
      </c>
      <c r="K721" s="10">
        <v>0.111</v>
      </c>
      <c r="L721" s="9">
        <f t="shared" si="22"/>
        <v>1528.1109900000001</v>
      </c>
      <c r="M721" s="9">
        <f>ROUND(L721*0.6326,2)</f>
        <v>966.68</v>
      </c>
      <c r="N721" s="9">
        <f t="shared" si="23"/>
        <v>561.43099000000018</v>
      </c>
    </row>
    <row r="722" spans="1:14" x14ac:dyDescent="0.35">
      <c r="A722" s="7" t="s">
        <v>805</v>
      </c>
      <c r="B722" s="8">
        <v>45906</v>
      </c>
      <c r="C722" s="7" t="s">
        <v>46</v>
      </c>
      <c r="D722" s="7" t="s">
        <v>53</v>
      </c>
      <c r="E722" s="7" t="s">
        <v>54</v>
      </c>
      <c r="F722" s="7" t="s">
        <v>59</v>
      </c>
      <c r="G722" s="7" t="s">
        <v>43</v>
      </c>
      <c r="H722" s="7" t="s">
        <v>95</v>
      </c>
      <c r="I722" s="7">
        <v>7</v>
      </c>
      <c r="J722" s="9">
        <v>1272.42</v>
      </c>
      <c r="K722" s="10">
        <v>0.1221</v>
      </c>
      <c r="L722" s="9">
        <f t="shared" si="22"/>
        <v>7819.402626000001</v>
      </c>
      <c r="M722" s="9">
        <f>ROUND(L722*0.6935,2)</f>
        <v>5422.76</v>
      </c>
      <c r="N722" s="9">
        <f t="shared" si="23"/>
        <v>2396.6426260000007</v>
      </c>
    </row>
    <row r="723" spans="1:14" x14ac:dyDescent="0.35">
      <c r="A723" s="7" t="s">
        <v>806</v>
      </c>
      <c r="B723" s="8">
        <v>45907</v>
      </c>
      <c r="C723" s="7" t="s">
        <v>76</v>
      </c>
      <c r="D723" s="7" t="s">
        <v>66</v>
      </c>
      <c r="E723" s="7" t="s">
        <v>73</v>
      </c>
      <c r="F723" s="7" t="s">
        <v>42</v>
      </c>
      <c r="G723" s="7" t="s">
        <v>55</v>
      </c>
      <c r="H723" s="7" t="s">
        <v>78</v>
      </c>
      <c r="I723" s="7">
        <v>12</v>
      </c>
      <c r="J723" s="9">
        <v>40.35</v>
      </c>
      <c r="K723" s="10">
        <v>9.01E-2</v>
      </c>
      <c r="L723" s="9">
        <f t="shared" si="22"/>
        <v>440.57358000000005</v>
      </c>
      <c r="M723" s="9">
        <f>ROUND(L723*0.5725,2)</f>
        <v>252.23</v>
      </c>
      <c r="N723" s="9">
        <f t="shared" si="23"/>
        <v>188.34358000000006</v>
      </c>
    </row>
    <row r="724" spans="1:14" x14ac:dyDescent="0.35">
      <c r="A724" s="7" t="s">
        <v>807</v>
      </c>
      <c r="B724" s="8">
        <v>45907</v>
      </c>
      <c r="C724" s="7" t="s">
        <v>52</v>
      </c>
      <c r="D724" s="7" t="s">
        <v>66</v>
      </c>
      <c r="E724" s="7" t="s">
        <v>98</v>
      </c>
      <c r="F724" s="7" t="s">
        <v>48</v>
      </c>
      <c r="G724" s="7" t="s">
        <v>49</v>
      </c>
      <c r="H724" s="7" t="s">
        <v>83</v>
      </c>
      <c r="I724" s="7">
        <v>1</v>
      </c>
      <c r="J724" s="9">
        <v>27.19</v>
      </c>
      <c r="K724" s="10">
        <v>7.2999999999999995E-2</v>
      </c>
      <c r="L724" s="9">
        <f t="shared" si="22"/>
        <v>25.205130000000004</v>
      </c>
      <c r="M724" s="9">
        <f>ROUND(L724*0.5906,2)</f>
        <v>14.89</v>
      </c>
      <c r="N724" s="9">
        <f t="shared" si="23"/>
        <v>10.315130000000003</v>
      </c>
    </row>
    <row r="725" spans="1:14" x14ac:dyDescent="0.35">
      <c r="A725" s="7" t="s">
        <v>808</v>
      </c>
      <c r="B725" s="8">
        <v>45907</v>
      </c>
      <c r="C725" s="7" t="s">
        <v>46</v>
      </c>
      <c r="D725" s="7" t="s">
        <v>66</v>
      </c>
      <c r="E725" s="7" t="s">
        <v>137</v>
      </c>
      <c r="F725" s="7" t="s">
        <v>42</v>
      </c>
      <c r="G725" s="7" t="s">
        <v>43</v>
      </c>
      <c r="H725" s="7" t="s">
        <v>50</v>
      </c>
      <c r="I725" s="7">
        <v>31</v>
      </c>
      <c r="J725" s="9">
        <v>158.31</v>
      </c>
      <c r="K725" s="10">
        <v>0.2452</v>
      </c>
      <c r="L725" s="9">
        <f t="shared" si="22"/>
        <v>3704.2640280000001</v>
      </c>
      <c r="M725" s="9">
        <f>ROUND(L725*0.5827,2)</f>
        <v>2158.4699999999998</v>
      </c>
      <c r="N725" s="9">
        <f t="shared" si="23"/>
        <v>1545.7940280000003</v>
      </c>
    </row>
    <row r="726" spans="1:14" x14ac:dyDescent="0.35">
      <c r="A726" s="7" t="s">
        <v>809</v>
      </c>
      <c r="B726" s="8">
        <v>45907</v>
      </c>
      <c r="C726" s="7" t="s">
        <v>52</v>
      </c>
      <c r="D726" s="7" t="s">
        <v>40</v>
      </c>
      <c r="E726" s="7" t="s">
        <v>47</v>
      </c>
      <c r="F726" s="7" t="s">
        <v>48</v>
      </c>
      <c r="G726" s="7" t="s">
        <v>55</v>
      </c>
      <c r="H726" s="7" t="s">
        <v>56</v>
      </c>
      <c r="I726" s="7">
        <v>1</v>
      </c>
      <c r="J726" s="9">
        <v>251.29</v>
      </c>
      <c r="K726" s="10">
        <v>4.4999999999999998E-2</v>
      </c>
      <c r="L726" s="9">
        <f t="shared" si="22"/>
        <v>239.98194999999998</v>
      </c>
      <c r="M726" s="9">
        <f>ROUND(L726*0.6362,2)</f>
        <v>152.68</v>
      </c>
      <c r="N726" s="9">
        <f t="shared" si="23"/>
        <v>87.301949999999977</v>
      </c>
    </row>
    <row r="727" spans="1:14" x14ac:dyDescent="0.35">
      <c r="A727" s="7" t="s">
        <v>810</v>
      </c>
      <c r="B727" s="8">
        <v>45907</v>
      </c>
      <c r="C727" s="7" t="s">
        <v>46</v>
      </c>
      <c r="D727" s="7" t="s">
        <v>53</v>
      </c>
      <c r="E727" s="7" t="s">
        <v>58</v>
      </c>
      <c r="F727" s="7" t="s">
        <v>42</v>
      </c>
      <c r="G727" s="7" t="s">
        <v>49</v>
      </c>
      <c r="H727" s="7" t="s">
        <v>95</v>
      </c>
      <c r="I727" s="7">
        <v>35</v>
      </c>
      <c r="J727" s="9">
        <v>694.9</v>
      </c>
      <c r="K727" s="10">
        <v>0.1226</v>
      </c>
      <c r="L727" s="9">
        <f t="shared" si="22"/>
        <v>21339.684099999999</v>
      </c>
      <c r="M727" s="9">
        <f>ROUND(L727*0.706,2)</f>
        <v>15065.82</v>
      </c>
      <c r="N727" s="9">
        <f t="shared" si="23"/>
        <v>6273.8640999999989</v>
      </c>
    </row>
    <row r="728" spans="1:14" x14ac:dyDescent="0.35">
      <c r="A728" s="7" t="s">
        <v>811</v>
      </c>
      <c r="B728" s="8">
        <v>45908</v>
      </c>
      <c r="C728" s="7" t="s">
        <v>46</v>
      </c>
      <c r="D728" s="7" t="s">
        <v>53</v>
      </c>
      <c r="E728" s="7" t="s">
        <v>81</v>
      </c>
      <c r="F728" s="7" t="s">
        <v>48</v>
      </c>
      <c r="G728" s="7" t="s">
        <v>55</v>
      </c>
      <c r="H728" s="7" t="s">
        <v>74</v>
      </c>
      <c r="I728" s="7">
        <v>2</v>
      </c>
      <c r="J728" s="9">
        <v>1066.75</v>
      </c>
      <c r="K728" s="10">
        <v>4.9000000000000002E-2</v>
      </c>
      <c r="L728" s="9">
        <f t="shared" si="22"/>
        <v>2028.9585</v>
      </c>
      <c r="M728" s="9">
        <f>ROUND(L728*0.7216,2)</f>
        <v>1464.1</v>
      </c>
      <c r="N728" s="9">
        <f t="shared" si="23"/>
        <v>564.85850000000005</v>
      </c>
    </row>
    <row r="729" spans="1:14" x14ac:dyDescent="0.35">
      <c r="A729" s="7" t="s">
        <v>812</v>
      </c>
      <c r="B729" s="8">
        <v>45908</v>
      </c>
      <c r="C729" s="7" t="s">
        <v>52</v>
      </c>
      <c r="D729" s="7" t="s">
        <v>53</v>
      </c>
      <c r="E729" s="7" t="s">
        <v>105</v>
      </c>
      <c r="F729" s="7" t="s">
        <v>59</v>
      </c>
      <c r="G729" s="7" t="s">
        <v>55</v>
      </c>
      <c r="H729" s="7" t="s">
        <v>56</v>
      </c>
      <c r="I729" s="7">
        <v>7</v>
      </c>
      <c r="J729" s="9">
        <v>448.87</v>
      </c>
      <c r="K729" s="10">
        <v>6.4100000000000004E-2</v>
      </c>
      <c r="L729" s="9">
        <f t="shared" si="22"/>
        <v>2940.6820309999998</v>
      </c>
      <c r="M729" s="9">
        <f>ROUND(L729*0.716,2)</f>
        <v>2105.5300000000002</v>
      </c>
      <c r="N729" s="9">
        <f t="shared" si="23"/>
        <v>835.15203099999962</v>
      </c>
    </row>
    <row r="730" spans="1:14" x14ac:dyDescent="0.35">
      <c r="A730" s="7" t="s">
        <v>813</v>
      </c>
      <c r="B730" s="8">
        <v>45908</v>
      </c>
      <c r="C730" s="7" t="s">
        <v>52</v>
      </c>
      <c r="D730" s="7" t="s">
        <v>40</v>
      </c>
      <c r="E730" s="7" t="s">
        <v>47</v>
      </c>
      <c r="F730" s="7" t="s">
        <v>42</v>
      </c>
      <c r="G730" s="7" t="s">
        <v>49</v>
      </c>
      <c r="H730" s="7" t="s">
        <v>71</v>
      </c>
      <c r="I730" s="7">
        <v>29</v>
      </c>
      <c r="J730" s="9">
        <v>237.15</v>
      </c>
      <c r="K730" s="10">
        <v>0.13700000000000001</v>
      </c>
      <c r="L730" s="9">
        <f t="shared" si="22"/>
        <v>5935.1530499999999</v>
      </c>
      <c r="M730" s="9">
        <f>ROUND(L730*0.6419,2)</f>
        <v>3809.77</v>
      </c>
      <c r="N730" s="9">
        <f t="shared" si="23"/>
        <v>2125.3830499999999</v>
      </c>
    </row>
    <row r="731" spans="1:14" x14ac:dyDescent="0.35">
      <c r="A731" s="7" t="s">
        <v>814</v>
      </c>
      <c r="B731" s="8">
        <v>45908</v>
      </c>
      <c r="C731" s="7" t="s">
        <v>46</v>
      </c>
      <c r="D731" s="7" t="s">
        <v>69</v>
      </c>
      <c r="E731" s="7" t="s">
        <v>70</v>
      </c>
      <c r="F731" s="7" t="s">
        <v>42</v>
      </c>
      <c r="G731" s="7" t="s">
        <v>43</v>
      </c>
      <c r="H731" s="7" t="s">
        <v>95</v>
      </c>
      <c r="I731" s="7">
        <v>33</v>
      </c>
      <c r="J731" s="9">
        <v>144.34</v>
      </c>
      <c r="K731" s="10">
        <v>0.16889999999999999</v>
      </c>
      <c r="L731" s="9">
        <f t="shared" si="22"/>
        <v>3958.7121419999999</v>
      </c>
      <c r="M731" s="9">
        <f>ROUND(L731*0.267,2)</f>
        <v>1056.98</v>
      </c>
      <c r="N731" s="9">
        <f t="shared" si="23"/>
        <v>2901.7321419999998</v>
      </c>
    </row>
    <row r="732" spans="1:14" x14ac:dyDescent="0.35">
      <c r="A732" s="7" t="s">
        <v>815</v>
      </c>
      <c r="B732" s="8">
        <v>45909</v>
      </c>
      <c r="C732" s="7" t="s">
        <v>52</v>
      </c>
      <c r="D732" s="7" t="s">
        <v>53</v>
      </c>
      <c r="E732" s="7" t="s">
        <v>58</v>
      </c>
      <c r="F732" s="7" t="s">
        <v>48</v>
      </c>
      <c r="G732" s="7" t="s">
        <v>49</v>
      </c>
      <c r="H732" s="7" t="s">
        <v>71</v>
      </c>
      <c r="I732" s="7">
        <v>1</v>
      </c>
      <c r="J732" s="9">
        <v>653.91</v>
      </c>
      <c r="K732" s="10">
        <v>6.59E-2</v>
      </c>
      <c r="L732" s="9">
        <f t="shared" si="22"/>
        <v>610.81733099999997</v>
      </c>
      <c r="M732" s="9">
        <f>ROUND(L732*0.6988,2)</f>
        <v>426.84</v>
      </c>
      <c r="N732" s="9">
        <f t="shared" si="23"/>
        <v>183.97733099999999</v>
      </c>
    </row>
    <row r="733" spans="1:14" x14ac:dyDescent="0.35">
      <c r="A733" s="7" t="s">
        <v>816</v>
      </c>
      <c r="B733" s="8">
        <v>45909</v>
      </c>
      <c r="C733" s="7" t="s">
        <v>76</v>
      </c>
      <c r="D733" s="7" t="s">
        <v>53</v>
      </c>
      <c r="E733" s="7" t="s">
        <v>105</v>
      </c>
      <c r="F733" s="7" t="s">
        <v>59</v>
      </c>
      <c r="G733" s="7" t="s">
        <v>43</v>
      </c>
      <c r="H733" s="7" t="s">
        <v>110</v>
      </c>
      <c r="I733" s="7">
        <v>4</v>
      </c>
      <c r="J733" s="9">
        <v>422.89</v>
      </c>
      <c r="K733" s="10">
        <v>0.13200000000000001</v>
      </c>
      <c r="L733" s="9">
        <f t="shared" si="22"/>
        <v>1468.2740799999999</v>
      </c>
      <c r="M733" s="9">
        <f>ROUND(L733*0.7076,2)</f>
        <v>1038.95</v>
      </c>
      <c r="N733" s="9">
        <f t="shared" si="23"/>
        <v>429.32407999999987</v>
      </c>
    </row>
    <row r="734" spans="1:14" x14ac:dyDescent="0.35">
      <c r="A734" s="7" t="s">
        <v>817</v>
      </c>
      <c r="B734" s="8">
        <v>45910</v>
      </c>
      <c r="C734" s="7" t="s">
        <v>39</v>
      </c>
      <c r="D734" s="7" t="s">
        <v>69</v>
      </c>
      <c r="E734" s="7" t="s">
        <v>132</v>
      </c>
      <c r="F734" s="7" t="s">
        <v>59</v>
      </c>
      <c r="G734" s="7" t="s">
        <v>49</v>
      </c>
      <c r="H734" s="7" t="s">
        <v>60</v>
      </c>
      <c r="I734" s="7">
        <v>9</v>
      </c>
      <c r="J734" s="9">
        <v>79.569999999999993</v>
      </c>
      <c r="K734" s="10">
        <v>0.12529999999999999</v>
      </c>
      <c r="L734" s="9">
        <f t="shared" si="22"/>
        <v>626.39891099999988</v>
      </c>
      <c r="M734" s="9">
        <f>ROUND(L734*0.2542,2)</f>
        <v>159.22999999999999</v>
      </c>
      <c r="N734" s="9">
        <f t="shared" si="23"/>
        <v>467.16891099999987</v>
      </c>
    </row>
    <row r="735" spans="1:14" x14ac:dyDescent="0.35">
      <c r="A735" s="7" t="s">
        <v>818</v>
      </c>
      <c r="B735" s="8">
        <v>45910</v>
      </c>
      <c r="C735" s="7" t="s">
        <v>52</v>
      </c>
      <c r="D735" s="7" t="s">
        <v>40</v>
      </c>
      <c r="E735" s="7" t="s">
        <v>47</v>
      </c>
      <c r="F735" s="7" t="s">
        <v>59</v>
      </c>
      <c r="G735" s="7" t="s">
        <v>49</v>
      </c>
      <c r="H735" s="7" t="s">
        <v>71</v>
      </c>
      <c r="I735" s="7">
        <v>6</v>
      </c>
      <c r="J735" s="9">
        <v>235.44</v>
      </c>
      <c r="K735" s="10">
        <v>0.14549999999999999</v>
      </c>
      <c r="L735" s="9">
        <f t="shared" si="22"/>
        <v>1207.10088</v>
      </c>
      <c r="M735" s="9">
        <f>ROUND(L735*0.6154,2)</f>
        <v>742.85</v>
      </c>
      <c r="N735" s="9">
        <f t="shared" si="23"/>
        <v>464.25087999999994</v>
      </c>
    </row>
    <row r="736" spans="1:14" x14ac:dyDescent="0.35">
      <c r="A736" s="7" t="s">
        <v>819</v>
      </c>
      <c r="B736" s="8">
        <v>45910</v>
      </c>
      <c r="C736" s="7" t="s">
        <v>39</v>
      </c>
      <c r="D736" s="7" t="s">
        <v>69</v>
      </c>
      <c r="E736" s="7" t="s">
        <v>119</v>
      </c>
      <c r="F736" s="7" t="s">
        <v>48</v>
      </c>
      <c r="G736" s="7" t="s">
        <v>49</v>
      </c>
      <c r="H736" s="7" t="s">
        <v>60</v>
      </c>
      <c r="I736" s="7">
        <v>2</v>
      </c>
      <c r="J736" s="9">
        <v>200.38</v>
      </c>
      <c r="K736" s="10">
        <v>3.6200000000000003E-2</v>
      </c>
      <c r="L736" s="9">
        <f t="shared" si="22"/>
        <v>386.25248799999997</v>
      </c>
      <c r="M736" s="9">
        <f>ROUND(L736*0.2371,2)</f>
        <v>91.58</v>
      </c>
      <c r="N736" s="9">
        <f t="shared" si="23"/>
        <v>294.67248799999999</v>
      </c>
    </row>
    <row r="737" spans="1:14" x14ac:dyDescent="0.35">
      <c r="A737" s="7" t="s">
        <v>820</v>
      </c>
      <c r="B737" s="8">
        <v>45910</v>
      </c>
      <c r="C737" s="7" t="s">
        <v>46</v>
      </c>
      <c r="D737" s="7" t="s">
        <v>66</v>
      </c>
      <c r="E737" s="7" t="s">
        <v>77</v>
      </c>
      <c r="F737" s="7" t="s">
        <v>42</v>
      </c>
      <c r="G737" s="7" t="s">
        <v>43</v>
      </c>
      <c r="H737" s="7" t="s">
        <v>95</v>
      </c>
      <c r="I737" s="7">
        <v>13</v>
      </c>
      <c r="J737" s="9">
        <v>96.22</v>
      </c>
      <c r="K737" s="10">
        <v>0.15340000000000001</v>
      </c>
      <c r="L737" s="9">
        <f t="shared" si="22"/>
        <v>1058.9780759999999</v>
      </c>
      <c r="M737" s="9">
        <f>ROUND(L737*0.6006,2)</f>
        <v>636.02</v>
      </c>
      <c r="N737" s="9">
        <f t="shared" si="23"/>
        <v>422.95807599999989</v>
      </c>
    </row>
    <row r="738" spans="1:14" x14ac:dyDescent="0.35">
      <c r="A738" s="7" t="s">
        <v>821</v>
      </c>
      <c r="B738" s="8">
        <v>45910</v>
      </c>
      <c r="C738" s="7" t="s">
        <v>39</v>
      </c>
      <c r="D738" s="7" t="s">
        <v>66</v>
      </c>
      <c r="E738" s="7" t="s">
        <v>67</v>
      </c>
      <c r="F738" s="7" t="s">
        <v>48</v>
      </c>
      <c r="G738" s="7" t="s">
        <v>55</v>
      </c>
      <c r="H738" s="7" t="s">
        <v>108</v>
      </c>
      <c r="I738" s="7">
        <v>1</v>
      </c>
      <c r="J738" s="9">
        <v>85.99</v>
      </c>
      <c r="K738" s="10">
        <v>4.8399999999999999E-2</v>
      </c>
      <c r="L738" s="9">
        <f t="shared" si="22"/>
        <v>81.82808399999999</v>
      </c>
      <c r="M738" s="9">
        <f>ROUND(L738*0.5954,2)</f>
        <v>48.72</v>
      </c>
      <c r="N738" s="9">
        <f t="shared" si="23"/>
        <v>33.108083999999991</v>
      </c>
    </row>
    <row r="739" spans="1:14" x14ac:dyDescent="0.35">
      <c r="A739" s="7" t="s">
        <v>822</v>
      </c>
      <c r="B739" s="8">
        <v>45910</v>
      </c>
      <c r="C739" s="7" t="s">
        <v>46</v>
      </c>
      <c r="D739" s="7" t="s">
        <v>69</v>
      </c>
      <c r="E739" s="7" t="s">
        <v>113</v>
      </c>
      <c r="F739" s="7" t="s">
        <v>42</v>
      </c>
      <c r="G739" s="7" t="s">
        <v>43</v>
      </c>
      <c r="H739" s="7" t="s">
        <v>50</v>
      </c>
      <c r="I739" s="7">
        <v>12</v>
      </c>
      <c r="J739" s="9">
        <v>252.17</v>
      </c>
      <c r="K739" s="10">
        <v>0.1149</v>
      </c>
      <c r="L739" s="9">
        <f t="shared" si="22"/>
        <v>2678.3480039999999</v>
      </c>
      <c r="M739" s="9">
        <f>ROUND(L739*0.2406,2)</f>
        <v>644.41</v>
      </c>
      <c r="N739" s="9">
        <f t="shared" si="23"/>
        <v>2033.9380040000001</v>
      </c>
    </row>
    <row r="740" spans="1:14" x14ac:dyDescent="0.35">
      <c r="A740" s="7" t="s">
        <v>823</v>
      </c>
      <c r="B740" s="8">
        <v>45910</v>
      </c>
      <c r="C740" s="7" t="s">
        <v>52</v>
      </c>
      <c r="D740" s="7" t="s">
        <v>69</v>
      </c>
      <c r="E740" s="7" t="s">
        <v>70</v>
      </c>
      <c r="F740" s="7" t="s">
        <v>59</v>
      </c>
      <c r="G740" s="7" t="s">
        <v>49</v>
      </c>
      <c r="H740" s="7" t="s">
        <v>83</v>
      </c>
      <c r="I740" s="7">
        <v>5</v>
      </c>
      <c r="J740" s="9">
        <v>142.9</v>
      </c>
      <c r="K740" s="10">
        <v>9.6500000000000002E-2</v>
      </c>
      <c r="L740" s="9">
        <f t="shared" si="22"/>
        <v>645.55074999999999</v>
      </c>
      <c r="M740" s="9">
        <f>ROUND(L740*0.232,2)</f>
        <v>149.77000000000001</v>
      </c>
      <c r="N740" s="9">
        <f t="shared" si="23"/>
        <v>495.78075000000001</v>
      </c>
    </row>
    <row r="741" spans="1:14" x14ac:dyDescent="0.35">
      <c r="A741" s="7" t="s">
        <v>824</v>
      </c>
      <c r="B741" s="8">
        <v>45911</v>
      </c>
      <c r="C741" s="7" t="s">
        <v>52</v>
      </c>
      <c r="D741" s="7" t="s">
        <v>40</v>
      </c>
      <c r="E741" s="7" t="s">
        <v>41</v>
      </c>
      <c r="F741" s="7" t="s">
        <v>48</v>
      </c>
      <c r="G741" s="7" t="s">
        <v>55</v>
      </c>
      <c r="H741" s="7" t="s">
        <v>56</v>
      </c>
      <c r="I741" s="7">
        <v>1</v>
      </c>
      <c r="J741" s="9">
        <v>400.78</v>
      </c>
      <c r="K741" s="10">
        <v>0.04</v>
      </c>
      <c r="L741" s="9">
        <f t="shared" si="22"/>
        <v>384.74879999999996</v>
      </c>
      <c r="M741" s="9">
        <f>ROUND(L741*0.6482,2)</f>
        <v>249.39</v>
      </c>
      <c r="N741" s="9">
        <f t="shared" si="23"/>
        <v>135.35879999999997</v>
      </c>
    </row>
    <row r="742" spans="1:14" x14ac:dyDescent="0.35">
      <c r="A742" s="7" t="s">
        <v>825</v>
      </c>
      <c r="B742" s="8">
        <v>45911</v>
      </c>
      <c r="C742" s="7" t="s">
        <v>52</v>
      </c>
      <c r="D742" s="7" t="s">
        <v>66</v>
      </c>
      <c r="E742" s="7" t="s">
        <v>77</v>
      </c>
      <c r="F742" s="7" t="s">
        <v>48</v>
      </c>
      <c r="G742" s="7" t="s">
        <v>55</v>
      </c>
      <c r="H742" s="7" t="s">
        <v>56</v>
      </c>
      <c r="I742" s="7">
        <v>1</v>
      </c>
      <c r="J742" s="9">
        <v>96.06</v>
      </c>
      <c r="K742" s="10">
        <v>7.2400000000000006E-2</v>
      </c>
      <c r="L742" s="9">
        <f t="shared" si="22"/>
        <v>89.105255999999997</v>
      </c>
      <c r="M742" s="9">
        <f>ROUND(L742*0.5913,2)</f>
        <v>52.69</v>
      </c>
      <c r="N742" s="9">
        <f t="shared" si="23"/>
        <v>36.415255999999999</v>
      </c>
    </row>
    <row r="743" spans="1:14" x14ac:dyDescent="0.35">
      <c r="A743" s="7" t="s">
        <v>826</v>
      </c>
      <c r="B743" s="8">
        <v>45911</v>
      </c>
      <c r="C743" s="7" t="s">
        <v>46</v>
      </c>
      <c r="D743" s="7" t="s">
        <v>53</v>
      </c>
      <c r="E743" s="7" t="s">
        <v>105</v>
      </c>
      <c r="F743" s="7" t="s">
        <v>42</v>
      </c>
      <c r="G743" s="7" t="s">
        <v>43</v>
      </c>
      <c r="H743" s="7" t="s">
        <v>50</v>
      </c>
      <c r="I743" s="7">
        <v>13</v>
      </c>
      <c r="J743" s="9">
        <v>451.4</v>
      </c>
      <c r="K743" s="10">
        <v>0.16120000000000001</v>
      </c>
      <c r="L743" s="9">
        <f t="shared" si="22"/>
        <v>4922.2461599999997</v>
      </c>
      <c r="M743" s="9">
        <f>ROUND(L743*0.7083,2)</f>
        <v>3486.43</v>
      </c>
      <c r="N743" s="9">
        <f t="shared" si="23"/>
        <v>1435.8161599999999</v>
      </c>
    </row>
    <row r="744" spans="1:14" x14ac:dyDescent="0.35">
      <c r="A744" s="7" t="s">
        <v>827</v>
      </c>
      <c r="B744" s="8">
        <v>45912</v>
      </c>
      <c r="C744" s="7" t="s">
        <v>76</v>
      </c>
      <c r="D744" s="7" t="s">
        <v>66</v>
      </c>
      <c r="E744" s="7" t="s">
        <v>73</v>
      </c>
      <c r="F744" s="7" t="s">
        <v>48</v>
      </c>
      <c r="G744" s="7" t="s">
        <v>55</v>
      </c>
      <c r="H744" s="7" t="s">
        <v>78</v>
      </c>
      <c r="I744" s="7">
        <v>2</v>
      </c>
      <c r="J744" s="9">
        <v>40.32</v>
      </c>
      <c r="K744" s="10">
        <v>4.3900000000000002E-2</v>
      </c>
      <c r="L744" s="9">
        <f t="shared" si="22"/>
        <v>77.099903999999995</v>
      </c>
      <c r="M744" s="9">
        <f>ROUND(L744*0.5929,2)</f>
        <v>45.71</v>
      </c>
      <c r="N744" s="9">
        <f t="shared" si="23"/>
        <v>31.389903999999994</v>
      </c>
    </row>
    <row r="745" spans="1:14" x14ac:dyDescent="0.35">
      <c r="A745" s="7" t="s">
        <v>828</v>
      </c>
      <c r="B745" s="8">
        <v>45912</v>
      </c>
      <c r="C745" s="7" t="s">
        <v>52</v>
      </c>
      <c r="D745" s="7" t="s">
        <v>66</v>
      </c>
      <c r="E745" s="7" t="s">
        <v>98</v>
      </c>
      <c r="F745" s="7" t="s">
        <v>42</v>
      </c>
      <c r="G745" s="7" t="s">
        <v>43</v>
      </c>
      <c r="H745" s="7" t="s">
        <v>64</v>
      </c>
      <c r="I745" s="7">
        <v>21</v>
      </c>
      <c r="J745" s="9">
        <v>27.63</v>
      </c>
      <c r="K745" s="10">
        <v>0.16619999999999999</v>
      </c>
      <c r="L745" s="9">
        <f t="shared" si="22"/>
        <v>483.79577399999999</v>
      </c>
      <c r="M745" s="9">
        <f>ROUND(L745*0.5613,2)</f>
        <v>271.55</v>
      </c>
      <c r="N745" s="9">
        <f t="shared" si="23"/>
        <v>212.24577399999998</v>
      </c>
    </row>
    <row r="746" spans="1:14" x14ac:dyDescent="0.35">
      <c r="A746" s="7" t="s">
        <v>829</v>
      </c>
      <c r="B746" s="8">
        <v>45912</v>
      </c>
      <c r="C746" s="7" t="s">
        <v>39</v>
      </c>
      <c r="D746" s="7" t="s">
        <v>53</v>
      </c>
      <c r="E746" s="7" t="s">
        <v>54</v>
      </c>
      <c r="F746" s="7" t="s">
        <v>59</v>
      </c>
      <c r="G746" s="7" t="s">
        <v>55</v>
      </c>
      <c r="H746" s="7" t="s">
        <v>108</v>
      </c>
      <c r="I746" s="7">
        <v>7</v>
      </c>
      <c r="J746" s="9">
        <v>1305.57</v>
      </c>
      <c r="K746" s="10">
        <v>3.32E-2</v>
      </c>
      <c r="L746" s="9">
        <f t="shared" si="22"/>
        <v>8835.5755319999989</v>
      </c>
      <c r="M746" s="9">
        <f>ROUND(L746*0.6927,2)</f>
        <v>6120.4</v>
      </c>
      <c r="N746" s="9">
        <f t="shared" si="23"/>
        <v>2715.1755319999993</v>
      </c>
    </row>
    <row r="747" spans="1:14" x14ac:dyDescent="0.35">
      <c r="A747" s="7" t="s">
        <v>830</v>
      </c>
      <c r="B747" s="8">
        <v>45913</v>
      </c>
      <c r="C747" s="7" t="s">
        <v>52</v>
      </c>
      <c r="D747" s="7" t="s">
        <v>53</v>
      </c>
      <c r="E747" s="7" t="s">
        <v>81</v>
      </c>
      <c r="F747" s="7" t="s">
        <v>48</v>
      </c>
      <c r="G747" s="7" t="s">
        <v>49</v>
      </c>
      <c r="H747" s="7" t="s">
        <v>64</v>
      </c>
      <c r="I747" s="7">
        <v>1</v>
      </c>
      <c r="J747" s="9">
        <v>1045.5899999999999</v>
      </c>
      <c r="K747" s="10">
        <v>7.6499999999999999E-2</v>
      </c>
      <c r="L747" s="9">
        <f t="shared" si="22"/>
        <v>965.60236499999996</v>
      </c>
      <c r="M747" s="9">
        <f>ROUND(L747*0.7358,2)</f>
        <v>710.49</v>
      </c>
      <c r="N747" s="9">
        <f t="shared" si="23"/>
        <v>255.11236499999995</v>
      </c>
    </row>
    <row r="748" spans="1:14" x14ac:dyDescent="0.35">
      <c r="A748" s="7" t="s">
        <v>831</v>
      </c>
      <c r="B748" s="8">
        <v>45913</v>
      </c>
      <c r="C748" s="7" t="s">
        <v>46</v>
      </c>
      <c r="D748" s="7" t="s">
        <v>53</v>
      </c>
      <c r="E748" s="7" t="s">
        <v>58</v>
      </c>
      <c r="F748" s="7" t="s">
        <v>48</v>
      </c>
      <c r="G748" s="7" t="s">
        <v>55</v>
      </c>
      <c r="H748" s="7" t="s">
        <v>74</v>
      </c>
      <c r="I748" s="7">
        <v>3</v>
      </c>
      <c r="J748" s="9">
        <v>675.94</v>
      </c>
      <c r="K748" s="10">
        <v>3.5400000000000001E-2</v>
      </c>
      <c r="L748" s="9">
        <f t="shared" si="22"/>
        <v>1956.0351720000001</v>
      </c>
      <c r="M748" s="9">
        <f>ROUND(L748*0.7067,2)</f>
        <v>1382.33</v>
      </c>
      <c r="N748" s="9">
        <f t="shared" si="23"/>
        <v>573.70517200000018</v>
      </c>
    </row>
    <row r="749" spans="1:14" x14ac:dyDescent="0.35">
      <c r="A749" s="7" t="s">
        <v>832</v>
      </c>
      <c r="B749" s="8">
        <v>45913</v>
      </c>
      <c r="C749" s="7" t="s">
        <v>76</v>
      </c>
      <c r="D749" s="7" t="s">
        <v>53</v>
      </c>
      <c r="E749" s="7" t="s">
        <v>105</v>
      </c>
      <c r="F749" s="7" t="s">
        <v>48</v>
      </c>
      <c r="G749" s="7" t="s">
        <v>55</v>
      </c>
      <c r="H749" s="7" t="s">
        <v>78</v>
      </c>
      <c r="I749" s="7">
        <v>1</v>
      </c>
      <c r="J749" s="9">
        <v>462.68</v>
      </c>
      <c r="K749" s="10">
        <v>3.5499999999999997E-2</v>
      </c>
      <c r="L749" s="9">
        <f t="shared" si="22"/>
        <v>446.25486000000001</v>
      </c>
      <c r="M749" s="9">
        <f>ROUND(L749*0.711,2)</f>
        <v>317.29000000000002</v>
      </c>
      <c r="N749" s="9">
        <f t="shared" si="23"/>
        <v>128.96485999999999</v>
      </c>
    </row>
    <row r="750" spans="1:14" x14ac:dyDescent="0.35">
      <c r="A750" s="7" t="s">
        <v>833</v>
      </c>
      <c r="B750" s="8">
        <v>45913</v>
      </c>
      <c r="C750" s="7" t="s">
        <v>46</v>
      </c>
      <c r="D750" s="7" t="s">
        <v>66</v>
      </c>
      <c r="E750" s="7" t="s">
        <v>73</v>
      </c>
      <c r="F750" s="7" t="s">
        <v>42</v>
      </c>
      <c r="G750" s="7" t="s">
        <v>43</v>
      </c>
      <c r="H750" s="7" t="s">
        <v>50</v>
      </c>
      <c r="I750" s="7">
        <v>21</v>
      </c>
      <c r="J750" s="9">
        <v>39.32</v>
      </c>
      <c r="K750" s="10">
        <v>0.20369999999999999</v>
      </c>
      <c r="L750" s="9">
        <f t="shared" si="22"/>
        <v>657.52083600000003</v>
      </c>
      <c r="M750" s="9">
        <f>ROUND(L750*0.5763,2)</f>
        <v>378.93</v>
      </c>
      <c r="N750" s="9">
        <f t="shared" si="23"/>
        <v>278.59083600000002</v>
      </c>
    </row>
    <row r="751" spans="1:14" x14ac:dyDescent="0.35">
      <c r="A751" s="7" t="s">
        <v>834</v>
      </c>
      <c r="B751" s="8">
        <v>45913</v>
      </c>
      <c r="C751" s="7" t="s">
        <v>52</v>
      </c>
      <c r="D751" s="7" t="s">
        <v>69</v>
      </c>
      <c r="E751" s="7" t="s">
        <v>70</v>
      </c>
      <c r="F751" s="7" t="s">
        <v>48</v>
      </c>
      <c r="G751" s="7" t="s">
        <v>49</v>
      </c>
      <c r="H751" s="7" t="s">
        <v>83</v>
      </c>
      <c r="I751" s="7">
        <v>1</v>
      </c>
      <c r="J751" s="9">
        <v>145.58000000000001</v>
      </c>
      <c r="K751" s="10">
        <v>2E-3</v>
      </c>
      <c r="L751" s="9">
        <f t="shared" si="22"/>
        <v>145.28884000000002</v>
      </c>
      <c r="M751" s="9">
        <f>ROUND(L751*0.232,2)</f>
        <v>33.71</v>
      </c>
      <c r="N751" s="9">
        <f t="shared" si="23"/>
        <v>111.57884000000001</v>
      </c>
    </row>
    <row r="752" spans="1:14" x14ac:dyDescent="0.35">
      <c r="A752" s="7" t="s">
        <v>835</v>
      </c>
      <c r="B752" s="8">
        <v>45913</v>
      </c>
      <c r="C752" s="7" t="s">
        <v>76</v>
      </c>
      <c r="D752" s="7" t="s">
        <v>53</v>
      </c>
      <c r="E752" s="7" t="s">
        <v>58</v>
      </c>
      <c r="F752" s="7" t="s">
        <v>42</v>
      </c>
      <c r="G752" s="7" t="s">
        <v>43</v>
      </c>
      <c r="H752" s="7" t="s">
        <v>151</v>
      </c>
      <c r="I752" s="7">
        <v>31</v>
      </c>
      <c r="J752" s="9">
        <v>695.47</v>
      </c>
      <c r="K752" s="10">
        <v>0.1706</v>
      </c>
      <c r="L752" s="9">
        <f t="shared" si="22"/>
        <v>17881.507357999999</v>
      </c>
      <c r="M752" s="9">
        <f>ROUND(L752*0.7205,2)</f>
        <v>12883.63</v>
      </c>
      <c r="N752" s="9">
        <f t="shared" si="23"/>
        <v>4997.8773579999997</v>
      </c>
    </row>
    <row r="753" spans="1:14" x14ac:dyDescent="0.35">
      <c r="A753" s="7" t="s">
        <v>836</v>
      </c>
      <c r="B753" s="8">
        <v>45914</v>
      </c>
      <c r="C753" s="7" t="s">
        <v>46</v>
      </c>
      <c r="D753" s="7" t="s">
        <v>66</v>
      </c>
      <c r="E753" s="7" t="s">
        <v>73</v>
      </c>
      <c r="F753" s="7" t="s">
        <v>59</v>
      </c>
      <c r="G753" s="7" t="s">
        <v>43</v>
      </c>
      <c r="H753" s="7" t="s">
        <v>50</v>
      </c>
      <c r="I753" s="7">
        <v>5</v>
      </c>
      <c r="J753" s="9">
        <v>38.83</v>
      </c>
      <c r="K753" s="10">
        <v>0.1239</v>
      </c>
      <c r="L753" s="9">
        <f t="shared" si="22"/>
        <v>170.09481499999998</v>
      </c>
      <c r="M753" s="9">
        <f>ROUND(L753*0.5711,2)</f>
        <v>97.14</v>
      </c>
      <c r="N753" s="9">
        <f t="shared" si="23"/>
        <v>72.954814999999982</v>
      </c>
    </row>
    <row r="754" spans="1:14" x14ac:dyDescent="0.35">
      <c r="A754" s="7" t="s">
        <v>837</v>
      </c>
      <c r="B754" s="8">
        <v>45914</v>
      </c>
      <c r="C754" s="7" t="s">
        <v>76</v>
      </c>
      <c r="D754" s="7" t="s">
        <v>66</v>
      </c>
      <c r="E754" s="7" t="s">
        <v>73</v>
      </c>
      <c r="F754" s="7" t="s">
        <v>59</v>
      </c>
      <c r="G754" s="7" t="s">
        <v>55</v>
      </c>
      <c r="H754" s="7" t="s">
        <v>78</v>
      </c>
      <c r="I754" s="7">
        <v>7</v>
      </c>
      <c r="J754" s="9">
        <v>38.79</v>
      </c>
      <c r="K754" s="10">
        <v>8.5699999999999998E-2</v>
      </c>
      <c r="L754" s="9">
        <f t="shared" si="22"/>
        <v>248.25987899999998</v>
      </c>
      <c r="M754" s="9">
        <f>ROUND(L754*0.562,2)</f>
        <v>139.52000000000001</v>
      </c>
      <c r="N754" s="9">
        <f t="shared" si="23"/>
        <v>108.73987899999997</v>
      </c>
    </row>
    <row r="755" spans="1:14" x14ac:dyDescent="0.35">
      <c r="A755" s="7" t="s">
        <v>838</v>
      </c>
      <c r="B755" s="8">
        <v>45914</v>
      </c>
      <c r="C755" s="7" t="s">
        <v>52</v>
      </c>
      <c r="D755" s="7" t="s">
        <v>69</v>
      </c>
      <c r="E755" s="7" t="s">
        <v>107</v>
      </c>
      <c r="F755" s="7" t="s">
        <v>48</v>
      </c>
      <c r="G755" s="7" t="s">
        <v>55</v>
      </c>
      <c r="H755" s="7" t="s">
        <v>56</v>
      </c>
      <c r="I755" s="7">
        <v>3</v>
      </c>
      <c r="J755" s="9">
        <v>58.37</v>
      </c>
      <c r="K755" s="10">
        <v>4.7300000000000002E-2</v>
      </c>
      <c r="L755" s="9">
        <f t="shared" si="22"/>
        <v>166.82729699999999</v>
      </c>
      <c r="M755" s="9">
        <f>ROUND(L755*0.2504,2)</f>
        <v>41.77</v>
      </c>
      <c r="N755" s="9">
        <f t="shared" si="23"/>
        <v>125.05729699999998</v>
      </c>
    </row>
    <row r="756" spans="1:14" x14ac:dyDescent="0.35">
      <c r="A756" s="7" t="s">
        <v>839</v>
      </c>
      <c r="B756" s="8">
        <v>45914</v>
      </c>
      <c r="C756" s="7" t="s">
        <v>76</v>
      </c>
      <c r="D756" s="7" t="s">
        <v>53</v>
      </c>
      <c r="E756" s="7" t="s">
        <v>81</v>
      </c>
      <c r="F756" s="7" t="s">
        <v>59</v>
      </c>
      <c r="G756" s="7" t="s">
        <v>55</v>
      </c>
      <c r="H756" s="7" t="s">
        <v>78</v>
      </c>
      <c r="I756" s="7">
        <v>4</v>
      </c>
      <c r="J756" s="9">
        <v>1122.27</v>
      </c>
      <c r="K756" s="10">
        <v>6.4500000000000002E-2</v>
      </c>
      <c r="L756" s="9">
        <f t="shared" si="22"/>
        <v>4199.5343400000002</v>
      </c>
      <c r="M756" s="9">
        <f>ROUND(L756*0.7382,2)</f>
        <v>3100.1</v>
      </c>
      <c r="N756" s="9">
        <f t="shared" si="23"/>
        <v>1099.4343400000002</v>
      </c>
    </row>
    <row r="757" spans="1:14" x14ac:dyDescent="0.35">
      <c r="A757" s="7" t="s">
        <v>840</v>
      </c>
      <c r="B757" s="8">
        <v>45914</v>
      </c>
      <c r="C757" s="7" t="s">
        <v>52</v>
      </c>
      <c r="D757" s="7" t="s">
        <v>40</v>
      </c>
      <c r="E757" s="7" t="s">
        <v>139</v>
      </c>
      <c r="F757" s="7" t="s">
        <v>48</v>
      </c>
      <c r="G757" s="7" t="s">
        <v>55</v>
      </c>
      <c r="H757" s="7" t="s">
        <v>56</v>
      </c>
      <c r="I757" s="7">
        <v>1</v>
      </c>
      <c r="J757" s="9">
        <v>332.89</v>
      </c>
      <c r="K757" s="10">
        <v>2.6499999999999999E-2</v>
      </c>
      <c r="L757" s="9">
        <f t="shared" si="22"/>
        <v>324.06841500000002</v>
      </c>
      <c r="M757" s="9">
        <f>ROUND(L757*0.6658,2)</f>
        <v>215.76</v>
      </c>
      <c r="N757" s="9">
        <f t="shared" si="23"/>
        <v>108.30841500000002</v>
      </c>
    </row>
    <row r="758" spans="1:14" x14ac:dyDescent="0.35">
      <c r="A758" s="7" t="s">
        <v>841</v>
      </c>
      <c r="B758" s="8">
        <v>45914</v>
      </c>
      <c r="C758" s="7" t="s">
        <v>76</v>
      </c>
      <c r="D758" s="7" t="s">
        <v>40</v>
      </c>
      <c r="E758" s="7" t="s">
        <v>62</v>
      </c>
      <c r="F758" s="7" t="s">
        <v>48</v>
      </c>
      <c r="G758" s="7" t="s">
        <v>55</v>
      </c>
      <c r="H758" s="7" t="s">
        <v>78</v>
      </c>
      <c r="I758" s="7">
        <v>2</v>
      </c>
      <c r="J758" s="9">
        <v>195.1</v>
      </c>
      <c r="K758" s="10">
        <v>4.0899999999999999E-2</v>
      </c>
      <c r="L758" s="9">
        <f t="shared" si="22"/>
        <v>374.24081999999999</v>
      </c>
      <c r="M758" s="9">
        <f>ROUND(L758*0.6402,2)</f>
        <v>239.59</v>
      </c>
      <c r="N758" s="9">
        <f t="shared" si="23"/>
        <v>134.65081999999998</v>
      </c>
    </row>
    <row r="759" spans="1:14" x14ac:dyDescent="0.35">
      <c r="A759" s="7" t="s">
        <v>842</v>
      </c>
      <c r="B759" s="8">
        <v>45914</v>
      </c>
      <c r="C759" s="7" t="s">
        <v>52</v>
      </c>
      <c r="D759" s="7" t="s">
        <v>66</v>
      </c>
      <c r="E759" s="7" t="s">
        <v>137</v>
      </c>
      <c r="F759" s="7" t="s">
        <v>59</v>
      </c>
      <c r="G759" s="7" t="s">
        <v>43</v>
      </c>
      <c r="H759" s="7" t="s">
        <v>83</v>
      </c>
      <c r="I759" s="7">
        <v>9</v>
      </c>
      <c r="J759" s="9">
        <v>151.33000000000001</v>
      </c>
      <c r="K759" s="10">
        <v>0.1265</v>
      </c>
      <c r="L759" s="9">
        <f t="shared" si="22"/>
        <v>1189.680795</v>
      </c>
      <c r="M759" s="9">
        <f>ROUND(L759*0.5552,2)</f>
        <v>660.51</v>
      </c>
      <c r="N759" s="9">
        <f t="shared" si="23"/>
        <v>529.170795</v>
      </c>
    </row>
    <row r="760" spans="1:14" x14ac:dyDescent="0.35">
      <c r="A760" s="7" t="s">
        <v>843</v>
      </c>
      <c r="B760" s="8">
        <v>45915</v>
      </c>
      <c r="C760" s="7" t="s">
        <v>52</v>
      </c>
      <c r="D760" s="7" t="s">
        <v>69</v>
      </c>
      <c r="E760" s="7" t="s">
        <v>132</v>
      </c>
      <c r="F760" s="7" t="s">
        <v>48</v>
      </c>
      <c r="G760" s="7" t="s">
        <v>55</v>
      </c>
      <c r="H760" s="7" t="s">
        <v>56</v>
      </c>
      <c r="I760" s="7">
        <v>3</v>
      </c>
      <c r="J760" s="9">
        <v>79.959999999999994</v>
      </c>
      <c r="K760" s="10">
        <v>1.2800000000000001E-2</v>
      </c>
      <c r="L760" s="9">
        <f t="shared" si="22"/>
        <v>236.80953599999998</v>
      </c>
      <c r="M760" s="9">
        <f>ROUND(L760*0.2383,2)</f>
        <v>56.43</v>
      </c>
      <c r="N760" s="9">
        <f t="shared" si="23"/>
        <v>180.37953599999997</v>
      </c>
    </row>
    <row r="761" spans="1:14" x14ac:dyDescent="0.35">
      <c r="A761" s="7" t="s">
        <v>844</v>
      </c>
      <c r="B761" s="8">
        <v>45915</v>
      </c>
      <c r="C761" s="7" t="s">
        <v>39</v>
      </c>
      <c r="D761" s="7" t="s">
        <v>40</v>
      </c>
      <c r="E761" s="7" t="s">
        <v>91</v>
      </c>
      <c r="F761" s="7" t="s">
        <v>48</v>
      </c>
      <c r="G761" s="7" t="s">
        <v>55</v>
      </c>
      <c r="H761" s="7" t="s">
        <v>108</v>
      </c>
      <c r="I761" s="7">
        <v>2</v>
      </c>
      <c r="J761" s="9">
        <v>126.53</v>
      </c>
      <c r="K761" s="10">
        <v>7.6899999999999996E-2</v>
      </c>
      <c r="L761" s="9">
        <f t="shared" si="22"/>
        <v>233.59968600000002</v>
      </c>
      <c r="M761" s="9">
        <f>ROUND(L761*0.6362,2)</f>
        <v>148.62</v>
      </c>
      <c r="N761" s="9">
        <f t="shared" si="23"/>
        <v>84.979686000000015</v>
      </c>
    </row>
    <row r="762" spans="1:14" x14ac:dyDescent="0.35">
      <c r="A762" s="7" t="s">
        <v>845</v>
      </c>
      <c r="B762" s="8">
        <v>45915</v>
      </c>
      <c r="C762" s="7" t="s">
        <v>52</v>
      </c>
      <c r="D762" s="7" t="s">
        <v>69</v>
      </c>
      <c r="E762" s="7" t="s">
        <v>132</v>
      </c>
      <c r="F762" s="7" t="s">
        <v>42</v>
      </c>
      <c r="G762" s="7" t="s">
        <v>43</v>
      </c>
      <c r="H762" s="7" t="s">
        <v>71</v>
      </c>
      <c r="I762" s="7">
        <v>14</v>
      </c>
      <c r="J762" s="9">
        <v>79.42</v>
      </c>
      <c r="K762" s="10">
        <v>0.15240000000000001</v>
      </c>
      <c r="L762" s="9">
        <f t="shared" si="22"/>
        <v>942.42948800000011</v>
      </c>
      <c r="M762" s="9">
        <f>ROUND(L762*0.2163,2)</f>
        <v>203.85</v>
      </c>
      <c r="N762" s="9">
        <f t="shared" si="23"/>
        <v>738.57948800000008</v>
      </c>
    </row>
    <row r="763" spans="1:14" x14ac:dyDescent="0.35">
      <c r="A763" s="7" t="s">
        <v>846</v>
      </c>
      <c r="B763" s="8">
        <v>45915</v>
      </c>
      <c r="C763" s="7" t="s">
        <v>46</v>
      </c>
      <c r="D763" s="7" t="s">
        <v>66</v>
      </c>
      <c r="E763" s="7" t="s">
        <v>77</v>
      </c>
      <c r="F763" s="7" t="s">
        <v>42</v>
      </c>
      <c r="G763" s="7" t="s">
        <v>49</v>
      </c>
      <c r="H763" s="7" t="s">
        <v>50</v>
      </c>
      <c r="I763" s="7">
        <v>18</v>
      </c>
      <c r="J763" s="9">
        <v>94.28</v>
      </c>
      <c r="K763" s="10">
        <v>0.15110000000000001</v>
      </c>
      <c r="L763" s="9">
        <f t="shared" si="22"/>
        <v>1440.617256</v>
      </c>
      <c r="M763" s="9">
        <f>ROUND(L763*0.5974,2)</f>
        <v>860.62</v>
      </c>
      <c r="N763" s="9">
        <f t="shared" si="23"/>
        <v>579.99725599999999</v>
      </c>
    </row>
    <row r="764" spans="1:14" x14ac:dyDescent="0.35">
      <c r="A764" s="7" t="s">
        <v>847</v>
      </c>
      <c r="B764" s="8">
        <v>45916</v>
      </c>
      <c r="C764" s="7" t="s">
        <v>52</v>
      </c>
      <c r="D764" s="7" t="s">
        <v>53</v>
      </c>
      <c r="E764" s="7" t="s">
        <v>105</v>
      </c>
      <c r="F764" s="7" t="s">
        <v>48</v>
      </c>
      <c r="G764" s="7" t="s">
        <v>55</v>
      </c>
      <c r="H764" s="7" t="s">
        <v>56</v>
      </c>
      <c r="I764" s="7">
        <v>1</v>
      </c>
      <c r="J764" s="9">
        <v>438.56</v>
      </c>
      <c r="K764" s="10">
        <v>4.4499999999999998E-2</v>
      </c>
      <c r="L764" s="9">
        <f t="shared" si="22"/>
        <v>419.04408000000001</v>
      </c>
      <c r="M764" s="9">
        <f>ROUND(L764*0.6811,2)</f>
        <v>285.41000000000003</v>
      </c>
      <c r="N764" s="9">
        <f t="shared" si="23"/>
        <v>133.63407999999998</v>
      </c>
    </row>
    <row r="765" spans="1:14" x14ac:dyDescent="0.35">
      <c r="A765" s="7" t="s">
        <v>848</v>
      </c>
      <c r="B765" s="8">
        <v>45916</v>
      </c>
      <c r="C765" s="7" t="s">
        <v>46</v>
      </c>
      <c r="D765" s="7" t="s">
        <v>69</v>
      </c>
      <c r="E765" s="7" t="s">
        <v>113</v>
      </c>
      <c r="F765" s="7" t="s">
        <v>59</v>
      </c>
      <c r="G765" s="7" t="s">
        <v>49</v>
      </c>
      <c r="H765" s="7" t="s">
        <v>50</v>
      </c>
      <c r="I765" s="7">
        <v>7</v>
      </c>
      <c r="J765" s="9">
        <v>246.74</v>
      </c>
      <c r="K765" s="10">
        <v>7.0000000000000007E-2</v>
      </c>
      <c r="L765" s="9">
        <f t="shared" si="22"/>
        <v>1606.2773999999999</v>
      </c>
      <c r="M765" s="9">
        <f>ROUND(L765*0.2353,2)</f>
        <v>377.96</v>
      </c>
      <c r="N765" s="9">
        <f t="shared" si="23"/>
        <v>1228.3173999999999</v>
      </c>
    </row>
    <row r="766" spans="1:14" x14ac:dyDescent="0.35">
      <c r="A766" s="7" t="s">
        <v>849</v>
      </c>
      <c r="B766" s="8">
        <v>45916</v>
      </c>
      <c r="C766" s="7" t="s">
        <v>39</v>
      </c>
      <c r="D766" s="7" t="s">
        <v>40</v>
      </c>
      <c r="E766" s="7" t="s">
        <v>62</v>
      </c>
      <c r="F766" s="7" t="s">
        <v>42</v>
      </c>
      <c r="G766" s="7" t="s">
        <v>49</v>
      </c>
      <c r="H766" s="7" t="s">
        <v>60</v>
      </c>
      <c r="I766" s="7">
        <v>24</v>
      </c>
      <c r="J766" s="9">
        <v>186.04</v>
      </c>
      <c r="K766" s="10">
        <v>0.1583</v>
      </c>
      <c r="L766" s="9">
        <f t="shared" si="22"/>
        <v>3758.1568320000001</v>
      </c>
      <c r="M766" s="9">
        <f>ROUND(L766*0.6341,2)</f>
        <v>2383.0500000000002</v>
      </c>
      <c r="N766" s="9">
        <f t="shared" si="23"/>
        <v>1375.1068319999999</v>
      </c>
    </row>
    <row r="767" spans="1:14" x14ac:dyDescent="0.35">
      <c r="A767" s="7" t="s">
        <v>850</v>
      </c>
      <c r="B767" s="8">
        <v>45916</v>
      </c>
      <c r="C767" s="7" t="s">
        <v>46</v>
      </c>
      <c r="D767" s="7" t="s">
        <v>53</v>
      </c>
      <c r="E767" s="7" t="s">
        <v>58</v>
      </c>
      <c r="F767" s="7" t="s">
        <v>48</v>
      </c>
      <c r="G767" s="7" t="s">
        <v>49</v>
      </c>
      <c r="H767" s="7" t="s">
        <v>50</v>
      </c>
      <c r="I767" s="7">
        <v>2</v>
      </c>
      <c r="J767" s="9">
        <v>677.88</v>
      </c>
      <c r="K767" s="10">
        <v>7.7600000000000002E-2</v>
      </c>
      <c r="L767" s="9">
        <f t="shared" si="22"/>
        <v>1250.5530240000001</v>
      </c>
      <c r="M767" s="9">
        <f>ROUND(L767*0.6881,2)</f>
        <v>860.51</v>
      </c>
      <c r="N767" s="9">
        <f t="shared" si="23"/>
        <v>390.04302400000006</v>
      </c>
    </row>
    <row r="768" spans="1:14" x14ac:dyDescent="0.35">
      <c r="A768" s="7" t="s">
        <v>851</v>
      </c>
      <c r="B768" s="8">
        <v>45916</v>
      </c>
      <c r="C768" s="7" t="s">
        <v>52</v>
      </c>
      <c r="D768" s="7" t="s">
        <v>40</v>
      </c>
      <c r="E768" s="7" t="s">
        <v>47</v>
      </c>
      <c r="F768" s="7" t="s">
        <v>42</v>
      </c>
      <c r="G768" s="7" t="s">
        <v>49</v>
      </c>
      <c r="H768" s="7" t="s">
        <v>64</v>
      </c>
      <c r="I768" s="7">
        <v>38</v>
      </c>
      <c r="J768" s="9">
        <v>245.7</v>
      </c>
      <c r="K768" s="10">
        <v>0.16189999999999999</v>
      </c>
      <c r="L768" s="9">
        <f t="shared" si="22"/>
        <v>7825.004460000001</v>
      </c>
      <c r="M768" s="9">
        <f>ROUND(L768*0.6113,2)</f>
        <v>4783.43</v>
      </c>
      <c r="N768" s="9">
        <f t="shared" si="23"/>
        <v>3041.5744600000007</v>
      </c>
    </row>
    <row r="769" spans="1:14" x14ac:dyDescent="0.35">
      <c r="A769" s="7" t="s">
        <v>852</v>
      </c>
      <c r="B769" s="8">
        <v>45916</v>
      </c>
      <c r="C769" s="7" t="s">
        <v>52</v>
      </c>
      <c r="D769" s="7" t="s">
        <v>69</v>
      </c>
      <c r="E769" s="7" t="s">
        <v>132</v>
      </c>
      <c r="F769" s="7" t="s">
        <v>59</v>
      </c>
      <c r="G769" s="7" t="s">
        <v>49</v>
      </c>
      <c r="H769" s="7" t="s">
        <v>71</v>
      </c>
      <c r="I769" s="7">
        <v>3</v>
      </c>
      <c r="J769" s="9">
        <v>79.400000000000006</v>
      </c>
      <c r="K769" s="10">
        <v>0.1142</v>
      </c>
      <c r="L769" s="9">
        <f t="shared" si="22"/>
        <v>210.99756000000002</v>
      </c>
      <c r="M769" s="9">
        <f>ROUND(L769*0.2358,2)</f>
        <v>49.75</v>
      </c>
      <c r="N769" s="9">
        <f t="shared" si="23"/>
        <v>161.24756000000002</v>
      </c>
    </row>
    <row r="770" spans="1:14" x14ac:dyDescent="0.35">
      <c r="A770" s="7" t="s">
        <v>853</v>
      </c>
      <c r="B770" s="8">
        <v>45917</v>
      </c>
      <c r="C770" s="7" t="s">
        <v>46</v>
      </c>
      <c r="D770" s="7" t="s">
        <v>69</v>
      </c>
      <c r="E770" s="7" t="s">
        <v>70</v>
      </c>
      <c r="F770" s="7" t="s">
        <v>59</v>
      </c>
      <c r="G770" s="7" t="s">
        <v>49</v>
      </c>
      <c r="H770" s="7" t="s">
        <v>95</v>
      </c>
      <c r="I770" s="7">
        <v>10</v>
      </c>
      <c r="J770" s="9">
        <v>142.22</v>
      </c>
      <c r="K770" s="10">
        <v>0.1086</v>
      </c>
      <c r="L770" s="9">
        <f t="shared" ref="L770:L833" si="24">I770*J770*(1-K770)</f>
        <v>1267.74908</v>
      </c>
      <c r="M770" s="9">
        <f>ROUND(L770*0.2511,2)</f>
        <v>318.33</v>
      </c>
      <c r="N770" s="9">
        <f t="shared" ref="N770:N833" si="25">L770-M770</f>
        <v>949.41908000000012</v>
      </c>
    </row>
    <row r="771" spans="1:14" x14ac:dyDescent="0.35">
      <c r="A771" s="7" t="s">
        <v>854</v>
      </c>
      <c r="B771" s="8">
        <v>45917</v>
      </c>
      <c r="C771" s="7" t="s">
        <v>52</v>
      </c>
      <c r="D771" s="7" t="s">
        <v>66</v>
      </c>
      <c r="E771" s="7" t="s">
        <v>137</v>
      </c>
      <c r="F771" s="7" t="s">
        <v>48</v>
      </c>
      <c r="G771" s="7" t="s">
        <v>55</v>
      </c>
      <c r="H771" s="7" t="s">
        <v>56</v>
      </c>
      <c r="I771" s="7">
        <v>1</v>
      </c>
      <c r="J771" s="9">
        <v>159.56</v>
      </c>
      <c r="K771" s="10">
        <v>4.3299999999999998E-2</v>
      </c>
      <c r="L771" s="9">
        <f t="shared" si="24"/>
        <v>152.65105199999999</v>
      </c>
      <c r="M771" s="9">
        <f>ROUND(L771*0.5996,2)</f>
        <v>91.53</v>
      </c>
      <c r="N771" s="9">
        <f t="shared" si="25"/>
        <v>61.121051999999992</v>
      </c>
    </row>
    <row r="772" spans="1:14" x14ac:dyDescent="0.35">
      <c r="A772" s="7" t="s">
        <v>855</v>
      </c>
      <c r="B772" s="8">
        <v>45918</v>
      </c>
      <c r="C772" s="7" t="s">
        <v>52</v>
      </c>
      <c r="D772" s="7" t="s">
        <v>66</v>
      </c>
      <c r="E772" s="7" t="s">
        <v>98</v>
      </c>
      <c r="F772" s="7" t="s">
        <v>59</v>
      </c>
      <c r="G772" s="7" t="s">
        <v>55</v>
      </c>
      <c r="H772" s="7" t="s">
        <v>56</v>
      </c>
      <c r="I772" s="7">
        <v>10</v>
      </c>
      <c r="J772" s="9">
        <v>28.69</v>
      </c>
      <c r="K772" s="10">
        <v>9.9299999999999999E-2</v>
      </c>
      <c r="L772" s="9">
        <f t="shared" si="24"/>
        <v>258.41083000000003</v>
      </c>
      <c r="M772" s="9">
        <f>ROUND(L772*0.5764,2)</f>
        <v>148.94999999999999</v>
      </c>
      <c r="N772" s="9">
        <f t="shared" si="25"/>
        <v>109.46083000000004</v>
      </c>
    </row>
    <row r="773" spans="1:14" x14ac:dyDescent="0.35">
      <c r="A773" s="7" t="s">
        <v>856</v>
      </c>
      <c r="B773" s="8">
        <v>45919</v>
      </c>
      <c r="C773" s="7" t="s">
        <v>76</v>
      </c>
      <c r="D773" s="7" t="s">
        <v>66</v>
      </c>
      <c r="E773" s="7" t="s">
        <v>77</v>
      </c>
      <c r="F773" s="7" t="s">
        <v>48</v>
      </c>
      <c r="G773" s="7" t="s">
        <v>55</v>
      </c>
      <c r="H773" s="7" t="s">
        <v>78</v>
      </c>
      <c r="I773" s="7">
        <v>3</v>
      </c>
      <c r="J773" s="9">
        <v>95.81</v>
      </c>
      <c r="K773" s="10">
        <v>7.1300000000000002E-2</v>
      </c>
      <c r="L773" s="9">
        <f t="shared" si="24"/>
        <v>266.936241</v>
      </c>
      <c r="M773" s="9">
        <f>ROUND(L773*0.5915,2)</f>
        <v>157.88999999999999</v>
      </c>
      <c r="N773" s="9">
        <f t="shared" si="25"/>
        <v>109.04624100000001</v>
      </c>
    </row>
    <row r="774" spans="1:14" x14ac:dyDescent="0.35">
      <c r="A774" s="7" t="s">
        <v>857</v>
      </c>
      <c r="B774" s="8">
        <v>45920</v>
      </c>
      <c r="C774" s="7" t="s">
        <v>46</v>
      </c>
      <c r="D774" s="7" t="s">
        <v>69</v>
      </c>
      <c r="E774" s="7" t="s">
        <v>119</v>
      </c>
      <c r="F774" s="7" t="s">
        <v>59</v>
      </c>
      <c r="G774" s="7" t="s">
        <v>49</v>
      </c>
      <c r="H774" s="7" t="s">
        <v>50</v>
      </c>
      <c r="I774" s="7">
        <v>3</v>
      </c>
      <c r="J774" s="9">
        <v>195.21</v>
      </c>
      <c r="K774" s="10">
        <v>8.6199999999999999E-2</v>
      </c>
      <c r="L774" s="9">
        <f t="shared" si="24"/>
        <v>535.14869399999998</v>
      </c>
      <c r="M774" s="9">
        <f>ROUND(L774*0.2366,2)</f>
        <v>126.62</v>
      </c>
      <c r="N774" s="9">
        <f t="shared" si="25"/>
        <v>408.52869399999997</v>
      </c>
    </row>
    <row r="775" spans="1:14" x14ac:dyDescent="0.35">
      <c r="A775" s="7" t="s">
        <v>858</v>
      </c>
      <c r="B775" s="8">
        <v>45920</v>
      </c>
      <c r="C775" s="7" t="s">
        <v>52</v>
      </c>
      <c r="D775" s="7" t="s">
        <v>40</v>
      </c>
      <c r="E775" s="7" t="s">
        <v>41</v>
      </c>
      <c r="F775" s="7" t="s">
        <v>48</v>
      </c>
      <c r="G775" s="7" t="s">
        <v>55</v>
      </c>
      <c r="H775" s="7" t="s">
        <v>56</v>
      </c>
      <c r="I775" s="7">
        <v>2</v>
      </c>
      <c r="J775" s="9">
        <v>408.34</v>
      </c>
      <c r="K775" s="10">
        <v>7.8399999999999997E-2</v>
      </c>
      <c r="L775" s="9">
        <f t="shared" si="24"/>
        <v>752.65228799999988</v>
      </c>
      <c r="M775" s="9">
        <f>ROUND(L775*0.6497,2)</f>
        <v>489</v>
      </c>
      <c r="N775" s="9">
        <f t="shared" si="25"/>
        <v>263.65228799999988</v>
      </c>
    </row>
    <row r="776" spans="1:14" x14ac:dyDescent="0.35">
      <c r="A776" s="7" t="s">
        <v>859</v>
      </c>
      <c r="B776" s="8">
        <v>45920</v>
      </c>
      <c r="C776" s="7" t="s">
        <v>46</v>
      </c>
      <c r="D776" s="7" t="s">
        <v>66</v>
      </c>
      <c r="E776" s="7" t="s">
        <v>67</v>
      </c>
      <c r="F776" s="7" t="s">
        <v>48</v>
      </c>
      <c r="G776" s="7" t="s">
        <v>55</v>
      </c>
      <c r="H776" s="7" t="s">
        <v>74</v>
      </c>
      <c r="I776" s="7">
        <v>2</v>
      </c>
      <c r="J776" s="9">
        <v>90.92</v>
      </c>
      <c r="K776" s="10">
        <v>5.1299999999999998E-2</v>
      </c>
      <c r="L776" s="9">
        <f t="shared" si="24"/>
        <v>172.511608</v>
      </c>
      <c r="M776" s="9">
        <f>ROUND(L776*0.5834,2)</f>
        <v>100.64</v>
      </c>
      <c r="N776" s="9">
        <f t="shared" si="25"/>
        <v>71.871607999999995</v>
      </c>
    </row>
    <row r="777" spans="1:14" x14ac:dyDescent="0.35">
      <c r="A777" s="7" t="s">
        <v>860</v>
      </c>
      <c r="B777" s="8">
        <v>45920</v>
      </c>
      <c r="C777" s="7" t="s">
        <v>76</v>
      </c>
      <c r="D777" s="7" t="s">
        <v>40</v>
      </c>
      <c r="E777" s="7" t="s">
        <v>139</v>
      </c>
      <c r="F777" s="7" t="s">
        <v>59</v>
      </c>
      <c r="G777" s="7" t="s">
        <v>49</v>
      </c>
      <c r="H777" s="7" t="s">
        <v>151</v>
      </c>
      <c r="I777" s="7">
        <v>10</v>
      </c>
      <c r="J777" s="9">
        <v>331.24</v>
      </c>
      <c r="K777" s="10">
        <v>9.6199999999999994E-2</v>
      </c>
      <c r="L777" s="9">
        <f t="shared" si="24"/>
        <v>2993.7471200000005</v>
      </c>
      <c r="M777" s="9">
        <f>ROUND(L777*0.6324,2)</f>
        <v>1893.25</v>
      </c>
      <c r="N777" s="9">
        <f t="shared" si="25"/>
        <v>1100.4971200000005</v>
      </c>
    </row>
    <row r="778" spans="1:14" x14ac:dyDescent="0.35">
      <c r="A778" s="7" t="s">
        <v>861</v>
      </c>
      <c r="B778" s="8">
        <v>45920</v>
      </c>
      <c r="C778" s="7" t="s">
        <v>39</v>
      </c>
      <c r="D778" s="7" t="s">
        <v>53</v>
      </c>
      <c r="E778" s="7" t="s">
        <v>81</v>
      </c>
      <c r="F778" s="7" t="s">
        <v>42</v>
      </c>
      <c r="G778" s="7" t="s">
        <v>49</v>
      </c>
      <c r="H778" s="7" t="s">
        <v>44</v>
      </c>
      <c r="I778" s="7">
        <v>40</v>
      </c>
      <c r="J778" s="9">
        <v>1073.79</v>
      </c>
      <c r="K778" s="10">
        <v>0.11</v>
      </c>
      <c r="L778" s="9">
        <f t="shared" si="24"/>
        <v>38226.923999999999</v>
      </c>
      <c r="M778" s="9">
        <f>ROUND(L778*0.7207,2)</f>
        <v>27550.14</v>
      </c>
      <c r="N778" s="9">
        <f t="shared" si="25"/>
        <v>10676.784</v>
      </c>
    </row>
    <row r="779" spans="1:14" x14ac:dyDescent="0.35">
      <c r="A779" s="7" t="s">
        <v>862</v>
      </c>
      <c r="B779" s="8">
        <v>45921</v>
      </c>
      <c r="C779" s="7" t="s">
        <v>46</v>
      </c>
      <c r="D779" s="7" t="s">
        <v>40</v>
      </c>
      <c r="E779" s="7" t="s">
        <v>139</v>
      </c>
      <c r="F779" s="7" t="s">
        <v>48</v>
      </c>
      <c r="G779" s="7" t="s">
        <v>55</v>
      </c>
      <c r="H779" s="7" t="s">
        <v>74</v>
      </c>
      <c r="I779" s="7">
        <v>2</v>
      </c>
      <c r="J779" s="9">
        <v>334.48</v>
      </c>
      <c r="K779" s="10">
        <v>2.12E-2</v>
      </c>
      <c r="L779" s="9">
        <f t="shared" si="24"/>
        <v>654.77804800000001</v>
      </c>
      <c r="M779" s="9">
        <f>ROUND(L779*0.6399,2)</f>
        <v>418.99</v>
      </c>
      <c r="N779" s="9">
        <f t="shared" si="25"/>
        <v>235.788048</v>
      </c>
    </row>
    <row r="780" spans="1:14" x14ac:dyDescent="0.35">
      <c r="A780" s="7" t="s">
        <v>863</v>
      </c>
      <c r="B780" s="8">
        <v>45921</v>
      </c>
      <c r="C780" s="7" t="s">
        <v>76</v>
      </c>
      <c r="D780" s="7" t="s">
        <v>53</v>
      </c>
      <c r="E780" s="7" t="s">
        <v>87</v>
      </c>
      <c r="F780" s="7" t="s">
        <v>48</v>
      </c>
      <c r="G780" s="7" t="s">
        <v>55</v>
      </c>
      <c r="H780" s="7" t="s">
        <v>78</v>
      </c>
      <c r="I780" s="7">
        <v>3</v>
      </c>
      <c r="J780" s="9">
        <v>868.95</v>
      </c>
      <c r="K780" s="10">
        <v>6.0699999999999997E-2</v>
      </c>
      <c r="L780" s="9">
        <f t="shared" si="24"/>
        <v>2448.6142050000003</v>
      </c>
      <c r="M780" s="9">
        <f>ROUND(L780*0.711,2)</f>
        <v>1740.96</v>
      </c>
      <c r="N780" s="9">
        <f t="shared" si="25"/>
        <v>707.65420500000027</v>
      </c>
    </row>
    <row r="781" spans="1:14" x14ac:dyDescent="0.35">
      <c r="A781" s="7" t="s">
        <v>864</v>
      </c>
      <c r="B781" s="8">
        <v>45922</v>
      </c>
      <c r="C781" s="7" t="s">
        <v>46</v>
      </c>
      <c r="D781" s="7" t="s">
        <v>53</v>
      </c>
      <c r="E781" s="7" t="s">
        <v>105</v>
      </c>
      <c r="F781" s="7" t="s">
        <v>48</v>
      </c>
      <c r="G781" s="7" t="s">
        <v>55</v>
      </c>
      <c r="H781" s="7" t="s">
        <v>74</v>
      </c>
      <c r="I781" s="7">
        <v>2</v>
      </c>
      <c r="J781" s="9">
        <v>433.66</v>
      </c>
      <c r="K781" s="10">
        <v>5.7000000000000002E-2</v>
      </c>
      <c r="L781" s="9">
        <f t="shared" si="24"/>
        <v>817.88275999999996</v>
      </c>
      <c r="M781" s="9">
        <f>ROUND(L781*0.6831,2)</f>
        <v>558.70000000000005</v>
      </c>
      <c r="N781" s="9">
        <f t="shared" si="25"/>
        <v>259.18275999999992</v>
      </c>
    </row>
    <row r="782" spans="1:14" x14ac:dyDescent="0.35">
      <c r="A782" s="7" t="s">
        <v>865</v>
      </c>
      <c r="B782" s="8">
        <v>45922</v>
      </c>
      <c r="C782" s="7" t="s">
        <v>76</v>
      </c>
      <c r="D782" s="7" t="s">
        <v>66</v>
      </c>
      <c r="E782" s="7" t="s">
        <v>137</v>
      </c>
      <c r="F782" s="7" t="s">
        <v>48</v>
      </c>
      <c r="G782" s="7" t="s">
        <v>55</v>
      </c>
      <c r="H782" s="7" t="s">
        <v>78</v>
      </c>
      <c r="I782" s="7">
        <v>1</v>
      </c>
      <c r="J782" s="9">
        <v>154.46</v>
      </c>
      <c r="K782" s="10">
        <v>5.5500000000000001E-2</v>
      </c>
      <c r="L782" s="9">
        <f t="shared" si="24"/>
        <v>145.88747000000001</v>
      </c>
      <c r="M782" s="9">
        <f>ROUND(L782*0.5854,2)</f>
        <v>85.4</v>
      </c>
      <c r="N782" s="9">
        <f t="shared" si="25"/>
        <v>60.487470000000002</v>
      </c>
    </row>
    <row r="783" spans="1:14" x14ac:dyDescent="0.35">
      <c r="A783" s="7" t="s">
        <v>866</v>
      </c>
      <c r="B783" s="8">
        <v>45922</v>
      </c>
      <c r="C783" s="7" t="s">
        <v>46</v>
      </c>
      <c r="D783" s="7" t="s">
        <v>53</v>
      </c>
      <c r="E783" s="7" t="s">
        <v>87</v>
      </c>
      <c r="F783" s="7" t="s">
        <v>59</v>
      </c>
      <c r="G783" s="7" t="s">
        <v>43</v>
      </c>
      <c r="H783" s="7" t="s">
        <v>50</v>
      </c>
      <c r="I783" s="7">
        <v>8</v>
      </c>
      <c r="J783" s="9">
        <v>856.62</v>
      </c>
      <c r="K783" s="10">
        <v>9.2200000000000004E-2</v>
      </c>
      <c r="L783" s="9">
        <f t="shared" si="24"/>
        <v>6221.117088</v>
      </c>
      <c r="M783" s="9">
        <f>ROUND(L783*0.7298,2)</f>
        <v>4540.17</v>
      </c>
      <c r="N783" s="9">
        <f t="shared" si="25"/>
        <v>1680.9470879999999</v>
      </c>
    </row>
    <row r="784" spans="1:14" x14ac:dyDescent="0.35">
      <c r="A784" s="7" t="s">
        <v>867</v>
      </c>
      <c r="B784" s="8">
        <v>45922</v>
      </c>
      <c r="C784" s="7" t="s">
        <v>46</v>
      </c>
      <c r="D784" s="7" t="s">
        <v>69</v>
      </c>
      <c r="E784" s="7" t="s">
        <v>132</v>
      </c>
      <c r="F784" s="7" t="s">
        <v>59</v>
      </c>
      <c r="G784" s="7" t="s">
        <v>49</v>
      </c>
      <c r="H784" s="7" t="s">
        <v>50</v>
      </c>
      <c r="I784" s="7">
        <v>3</v>
      </c>
      <c r="J784" s="9">
        <v>77.59</v>
      </c>
      <c r="K784" s="10">
        <v>0.13109999999999999</v>
      </c>
      <c r="L784" s="9">
        <f t="shared" si="24"/>
        <v>202.25385300000002</v>
      </c>
      <c r="M784" s="9">
        <f>ROUND(L784*0.2295,2)</f>
        <v>46.42</v>
      </c>
      <c r="N784" s="9">
        <f t="shared" si="25"/>
        <v>155.83385300000003</v>
      </c>
    </row>
    <row r="785" spans="1:14" x14ac:dyDescent="0.35">
      <c r="A785" s="7" t="s">
        <v>868</v>
      </c>
      <c r="B785" s="8">
        <v>45922</v>
      </c>
      <c r="C785" s="7" t="s">
        <v>76</v>
      </c>
      <c r="D785" s="7" t="s">
        <v>40</v>
      </c>
      <c r="E785" s="7" t="s">
        <v>47</v>
      </c>
      <c r="F785" s="7" t="s">
        <v>59</v>
      </c>
      <c r="G785" s="7" t="s">
        <v>49</v>
      </c>
      <c r="H785" s="7" t="s">
        <v>151</v>
      </c>
      <c r="I785" s="7">
        <v>5</v>
      </c>
      <c r="J785" s="9">
        <v>241.66</v>
      </c>
      <c r="K785" s="10">
        <v>0.12509999999999999</v>
      </c>
      <c r="L785" s="9">
        <f t="shared" si="24"/>
        <v>1057.14167</v>
      </c>
      <c r="M785" s="9">
        <f>ROUND(L785*0.6397,2)</f>
        <v>676.25</v>
      </c>
      <c r="N785" s="9">
        <f t="shared" si="25"/>
        <v>380.89166999999998</v>
      </c>
    </row>
    <row r="786" spans="1:14" x14ac:dyDescent="0.35">
      <c r="A786" s="7" t="s">
        <v>869</v>
      </c>
      <c r="B786" s="8">
        <v>45922</v>
      </c>
      <c r="C786" s="7" t="s">
        <v>76</v>
      </c>
      <c r="D786" s="7" t="s">
        <v>53</v>
      </c>
      <c r="E786" s="7" t="s">
        <v>54</v>
      </c>
      <c r="F786" s="7" t="s">
        <v>59</v>
      </c>
      <c r="G786" s="7" t="s">
        <v>43</v>
      </c>
      <c r="H786" s="7" t="s">
        <v>151</v>
      </c>
      <c r="I786" s="7">
        <v>8</v>
      </c>
      <c r="J786" s="9">
        <v>1305.95</v>
      </c>
      <c r="K786" s="10">
        <v>0.13320000000000001</v>
      </c>
      <c r="L786" s="9">
        <f t="shared" si="24"/>
        <v>9055.9796800000004</v>
      </c>
      <c r="M786" s="9">
        <f>ROUND(L786*0.7111,2)</f>
        <v>6439.71</v>
      </c>
      <c r="N786" s="9">
        <f t="shared" si="25"/>
        <v>2616.2696800000003</v>
      </c>
    </row>
    <row r="787" spans="1:14" x14ac:dyDescent="0.35">
      <c r="A787" s="7" t="s">
        <v>870</v>
      </c>
      <c r="B787" s="8">
        <v>45922</v>
      </c>
      <c r="C787" s="7" t="s">
        <v>46</v>
      </c>
      <c r="D787" s="7" t="s">
        <v>69</v>
      </c>
      <c r="E787" s="7" t="s">
        <v>113</v>
      </c>
      <c r="F787" s="7" t="s">
        <v>42</v>
      </c>
      <c r="G787" s="7" t="s">
        <v>43</v>
      </c>
      <c r="H787" s="7" t="s">
        <v>50</v>
      </c>
      <c r="I787" s="7">
        <v>21</v>
      </c>
      <c r="J787" s="9">
        <v>250.77</v>
      </c>
      <c r="K787" s="10">
        <v>0.15820000000000001</v>
      </c>
      <c r="L787" s="9">
        <f t="shared" si="24"/>
        <v>4433.0619059999999</v>
      </c>
      <c r="M787" s="9">
        <f>ROUND(L787*0.2272,2)</f>
        <v>1007.19</v>
      </c>
      <c r="N787" s="9">
        <f t="shared" si="25"/>
        <v>3425.8719059999999</v>
      </c>
    </row>
    <row r="788" spans="1:14" x14ac:dyDescent="0.35">
      <c r="A788" s="7" t="s">
        <v>871</v>
      </c>
      <c r="B788" s="8">
        <v>45923</v>
      </c>
      <c r="C788" s="7" t="s">
        <v>39</v>
      </c>
      <c r="D788" s="7" t="s">
        <v>53</v>
      </c>
      <c r="E788" s="7" t="s">
        <v>81</v>
      </c>
      <c r="F788" s="7" t="s">
        <v>59</v>
      </c>
      <c r="G788" s="7" t="s">
        <v>55</v>
      </c>
      <c r="H788" s="7" t="s">
        <v>108</v>
      </c>
      <c r="I788" s="7">
        <v>6</v>
      </c>
      <c r="J788" s="9">
        <v>1130.44</v>
      </c>
      <c r="K788" s="10">
        <v>5.62E-2</v>
      </c>
      <c r="L788" s="9">
        <f t="shared" si="24"/>
        <v>6401.4556320000002</v>
      </c>
      <c r="M788" s="9">
        <f>ROUND(L788*0.7346,2)</f>
        <v>4702.51</v>
      </c>
      <c r="N788" s="9">
        <f t="shared" si="25"/>
        <v>1698.9456319999999</v>
      </c>
    </row>
    <row r="789" spans="1:14" x14ac:dyDescent="0.35">
      <c r="A789" s="7" t="s">
        <v>872</v>
      </c>
      <c r="B789" s="8">
        <v>45923</v>
      </c>
      <c r="C789" s="7" t="s">
        <v>76</v>
      </c>
      <c r="D789" s="7" t="s">
        <v>69</v>
      </c>
      <c r="E789" s="7" t="s">
        <v>119</v>
      </c>
      <c r="F789" s="7" t="s">
        <v>48</v>
      </c>
      <c r="G789" s="7" t="s">
        <v>43</v>
      </c>
      <c r="H789" s="7" t="s">
        <v>151</v>
      </c>
      <c r="I789" s="7">
        <v>1</v>
      </c>
      <c r="J789" s="9">
        <v>202.17</v>
      </c>
      <c r="K789" s="10">
        <v>0.04</v>
      </c>
      <c r="L789" s="9">
        <f t="shared" si="24"/>
        <v>194.08319999999998</v>
      </c>
      <c r="M789" s="9">
        <f>ROUND(L789*0.244,2)</f>
        <v>47.36</v>
      </c>
      <c r="N789" s="9">
        <f t="shared" si="25"/>
        <v>146.72319999999996</v>
      </c>
    </row>
    <row r="790" spans="1:14" x14ac:dyDescent="0.35">
      <c r="A790" s="7" t="s">
        <v>873</v>
      </c>
      <c r="B790" s="8">
        <v>45924</v>
      </c>
      <c r="C790" s="7" t="s">
        <v>39</v>
      </c>
      <c r="D790" s="7" t="s">
        <v>40</v>
      </c>
      <c r="E790" s="7" t="s">
        <v>41</v>
      </c>
      <c r="F790" s="7" t="s">
        <v>59</v>
      </c>
      <c r="G790" s="7" t="s">
        <v>49</v>
      </c>
      <c r="H790" s="7" t="s">
        <v>60</v>
      </c>
      <c r="I790" s="7">
        <v>8</v>
      </c>
      <c r="J790" s="9">
        <v>385.82</v>
      </c>
      <c r="K790" s="10">
        <v>0.1394</v>
      </c>
      <c r="L790" s="9">
        <f t="shared" si="24"/>
        <v>2656.2935360000001</v>
      </c>
      <c r="M790" s="9">
        <f>ROUND(L790*0.6314,2)</f>
        <v>1677.18</v>
      </c>
      <c r="N790" s="9">
        <f t="shared" si="25"/>
        <v>979.11353600000007</v>
      </c>
    </row>
    <row r="791" spans="1:14" x14ac:dyDescent="0.35">
      <c r="A791" s="7" t="s">
        <v>874</v>
      </c>
      <c r="B791" s="8">
        <v>45924</v>
      </c>
      <c r="C791" s="7" t="s">
        <v>76</v>
      </c>
      <c r="D791" s="7" t="s">
        <v>40</v>
      </c>
      <c r="E791" s="7" t="s">
        <v>41</v>
      </c>
      <c r="F791" s="7" t="s">
        <v>59</v>
      </c>
      <c r="G791" s="7" t="s">
        <v>49</v>
      </c>
      <c r="H791" s="7" t="s">
        <v>151</v>
      </c>
      <c r="I791" s="7">
        <v>5</v>
      </c>
      <c r="J791" s="9">
        <v>378.08</v>
      </c>
      <c r="K791" s="10">
        <v>0.1036</v>
      </c>
      <c r="L791" s="9">
        <f t="shared" si="24"/>
        <v>1694.5545599999998</v>
      </c>
      <c r="M791" s="9">
        <f>ROUND(L791*0.6689,2)</f>
        <v>1133.49</v>
      </c>
      <c r="N791" s="9">
        <f t="shared" si="25"/>
        <v>561.0645599999998</v>
      </c>
    </row>
    <row r="792" spans="1:14" x14ac:dyDescent="0.35">
      <c r="A792" s="7" t="s">
        <v>875</v>
      </c>
      <c r="B792" s="8">
        <v>45924</v>
      </c>
      <c r="C792" s="7" t="s">
        <v>52</v>
      </c>
      <c r="D792" s="7" t="s">
        <v>69</v>
      </c>
      <c r="E792" s="7" t="s">
        <v>107</v>
      </c>
      <c r="F792" s="7" t="s">
        <v>42</v>
      </c>
      <c r="G792" s="7" t="s">
        <v>43</v>
      </c>
      <c r="H792" s="7" t="s">
        <v>64</v>
      </c>
      <c r="I792" s="7">
        <v>11</v>
      </c>
      <c r="J792" s="9">
        <v>59.21</v>
      </c>
      <c r="K792" s="10">
        <v>0.23760000000000001</v>
      </c>
      <c r="L792" s="9">
        <f t="shared" si="24"/>
        <v>496.55874400000005</v>
      </c>
      <c r="M792" s="9">
        <f>ROUND(L792*0.2579,2)</f>
        <v>128.06</v>
      </c>
      <c r="N792" s="9">
        <f t="shared" si="25"/>
        <v>368.49874400000004</v>
      </c>
    </row>
    <row r="793" spans="1:14" x14ac:dyDescent="0.35">
      <c r="A793" s="7" t="s">
        <v>876</v>
      </c>
      <c r="B793" s="8">
        <v>45924</v>
      </c>
      <c r="C793" s="7" t="s">
        <v>46</v>
      </c>
      <c r="D793" s="7" t="s">
        <v>40</v>
      </c>
      <c r="E793" s="7" t="s">
        <v>47</v>
      </c>
      <c r="F793" s="7" t="s">
        <v>42</v>
      </c>
      <c r="G793" s="7" t="s">
        <v>55</v>
      </c>
      <c r="H793" s="7" t="s">
        <v>74</v>
      </c>
      <c r="I793" s="7">
        <v>24</v>
      </c>
      <c r="J793" s="9">
        <v>242.59</v>
      </c>
      <c r="K793" s="10">
        <v>0.10979999999999999</v>
      </c>
      <c r="L793" s="9">
        <f t="shared" si="24"/>
        <v>5182.8868320000001</v>
      </c>
      <c r="M793" s="9">
        <f>ROUND(L793*0.6619,2)</f>
        <v>3430.55</v>
      </c>
      <c r="N793" s="9">
        <f t="shared" si="25"/>
        <v>1752.336832</v>
      </c>
    </row>
    <row r="794" spans="1:14" x14ac:dyDescent="0.35">
      <c r="A794" s="7" t="s">
        <v>877</v>
      </c>
      <c r="B794" s="8">
        <v>45925</v>
      </c>
      <c r="C794" s="7" t="s">
        <v>52</v>
      </c>
      <c r="D794" s="7" t="s">
        <v>40</v>
      </c>
      <c r="E794" s="7" t="s">
        <v>139</v>
      </c>
      <c r="F794" s="7" t="s">
        <v>42</v>
      </c>
      <c r="G794" s="7" t="s">
        <v>43</v>
      </c>
      <c r="H794" s="7" t="s">
        <v>71</v>
      </c>
      <c r="I794" s="7">
        <v>28</v>
      </c>
      <c r="J794" s="9">
        <v>321.17</v>
      </c>
      <c r="K794" s="10">
        <v>0.17610000000000001</v>
      </c>
      <c r="L794" s="9">
        <f t="shared" si="24"/>
        <v>7409.1349639999999</v>
      </c>
      <c r="M794" s="9">
        <f>ROUND(L794*0.618,2)</f>
        <v>4578.8500000000004</v>
      </c>
      <c r="N794" s="9">
        <f t="shared" si="25"/>
        <v>2830.2849639999995</v>
      </c>
    </row>
    <row r="795" spans="1:14" x14ac:dyDescent="0.35">
      <c r="A795" s="7" t="s">
        <v>878</v>
      </c>
      <c r="B795" s="8">
        <v>45925</v>
      </c>
      <c r="C795" s="7" t="s">
        <v>46</v>
      </c>
      <c r="D795" s="7" t="s">
        <v>53</v>
      </c>
      <c r="E795" s="7" t="s">
        <v>58</v>
      </c>
      <c r="F795" s="7" t="s">
        <v>59</v>
      </c>
      <c r="G795" s="7" t="s">
        <v>55</v>
      </c>
      <c r="H795" s="7" t="s">
        <v>74</v>
      </c>
      <c r="I795" s="7">
        <v>7</v>
      </c>
      <c r="J795" s="9">
        <v>711.06</v>
      </c>
      <c r="K795" s="10">
        <v>6.2100000000000002E-2</v>
      </c>
      <c r="L795" s="9">
        <f t="shared" si="24"/>
        <v>4668.3222180000002</v>
      </c>
      <c r="M795" s="9">
        <f>ROUND(L795*0.6866,2)</f>
        <v>3205.27</v>
      </c>
      <c r="N795" s="9">
        <f t="shared" si="25"/>
        <v>1463.0522180000003</v>
      </c>
    </row>
    <row r="796" spans="1:14" x14ac:dyDescent="0.35">
      <c r="A796" s="7" t="s">
        <v>879</v>
      </c>
      <c r="B796" s="8">
        <v>45925</v>
      </c>
      <c r="C796" s="7" t="s">
        <v>76</v>
      </c>
      <c r="D796" s="7" t="s">
        <v>53</v>
      </c>
      <c r="E796" s="7" t="s">
        <v>81</v>
      </c>
      <c r="F796" s="7" t="s">
        <v>59</v>
      </c>
      <c r="G796" s="7" t="s">
        <v>43</v>
      </c>
      <c r="H796" s="7" t="s">
        <v>151</v>
      </c>
      <c r="I796" s="7">
        <v>6</v>
      </c>
      <c r="J796" s="9">
        <v>1114.54</v>
      </c>
      <c r="K796" s="10">
        <v>0.15740000000000001</v>
      </c>
      <c r="L796" s="9">
        <f t="shared" si="24"/>
        <v>5634.6684239999995</v>
      </c>
      <c r="M796" s="9">
        <f>ROUND(L796*0.6864,2)</f>
        <v>3867.64</v>
      </c>
      <c r="N796" s="9">
        <f t="shared" si="25"/>
        <v>1767.0284239999996</v>
      </c>
    </row>
    <row r="797" spans="1:14" x14ac:dyDescent="0.35">
      <c r="A797" s="7" t="s">
        <v>880</v>
      </c>
      <c r="B797" s="8">
        <v>45926</v>
      </c>
      <c r="C797" s="7" t="s">
        <v>52</v>
      </c>
      <c r="D797" s="7" t="s">
        <v>66</v>
      </c>
      <c r="E797" s="7" t="s">
        <v>98</v>
      </c>
      <c r="F797" s="7" t="s">
        <v>48</v>
      </c>
      <c r="G797" s="7" t="s">
        <v>55</v>
      </c>
      <c r="H797" s="7" t="s">
        <v>56</v>
      </c>
      <c r="I797" s="7">
        <v>3</v>
      </c>
      <c r="J797" s="9">
        <v>28.94</v>
      </c>
      <c r="K797" s="10">
        <v>2.6599999999999999E-2</v>
      </c>
      <c r="L797" s="9">
        <f t="shared" si="24"/>
        <v>84.510588000000013</v>
      </c>
      <c r="M797" s="9">
        <f>ROUND(L797*0.6036,2)</f>
        <v>51.01</v>
      </c>
      <c r="N797" s="9">
        <f t="shared" si="25"/>
        <v>33.500588000000015</v>
      </c>
    </row>
    <row r="798" spans="1:14" x14ac:dyDescent="0.35">
      <c r="A798" s="7" t="s">
        <v>881</v>
      </c>
      <c r="B798" s="8">
        <v>45926</v>
      </c>
      <c r="C798" s="7" t="s">
        <v>39</v>
      </c>
      <c r="D798" s="7" t="s">
        <v>66</v>
      </c>
      <c r="E798" s="7" t="s">
        <v>77</v>
      </c>
      <c r="F798" s="7" t="s">
        <v>48</v>
      </c>
      <c r="G798" s="7" t="s">
        <v>55</v>
      </c>
      <c r="H798" s="7" t="s">
        <v>108</v>
      </c>
      <c r="I798" s="7">
        <v>1</v>
      </c>
      <c r="J798" s="9">
        <v>100.55</v>
      </c>
      <c r="K798" s="10">
        <v>3.9800000000000002E-2</v>
      </c>
      <c r="L798" s="9">
        <f t="shared" si="24"/>
        <v>96.548109999999994</v>
      </c>
      <c r="M798" s="9">
        <f>ROUND(L798*0.5516,2)</f>
        <v>53.26</v>
      </c>
      <c r="N798" s="9">
        <f t="shared" si="25"/>
        <v>43.288109999999996</v>
      </c>
    </row>
    <row r="799" spans="1:14" x14ac:dyDescent="0.35">
      <c r="A799" s="7" t="s">
        <v>882</v>
      </c>
      <c r="B799" s="8">
        <v>45926</v>
      </c>
      <c r="C799" s="7" t="s">
        <v>52</v>
      </c>
      <c r="D799" s="7" t="s">
        <v>66</v>
      </c>
      <c r="E799" s="7" t="s">
        <v>137</v>
      </c>
      <c r="F799" s="7" t="s">
        <v>48</v>
      </c>
      <c r="G799" s="7" t="s">
        <v>49</v>
      </c>
      <c r="H799" s="7" t="s">
        <v>83</v>
      </c>
      <c r="I799" s="7">
        <v>1</v>
      </c>
      <c r="J799" s="9">
        <v>153.34</v>
      </c>
      <c r="K799" s="10">
        <v>3.2800000000000003E-2</v>
      </c>
      <c r="L799" s="9">
        <f t="shared" si="24"/>
        <v>148.31044800000001</v>
      </c>
      <c r="M799" s="9">
        <f>ROUND(L799*0.5747,2)</f>
        <v>85.23</v>
      </c>
      <c r="N799" s="9">
        <f t="shared" si="25"/>
        <v>63.080448000000004</v>
      </c>
    </row>
    <row r="800" spans="1:14" x14ac:dyDescent="0.35">
      <c r="A800" s="7" t="s">
        <v>883</v>
      </c>
      <c r="B800" s="8">
        <v>45927</v>
      </c>
      <c r="C800" s="7" t="s">
        <v>39</v>
      </c>
      <c r="D800" s="7" t="s">
        <v>69</v>
      </c>
      <c r="E800" s="7" t="s">
        <v>70</v>
      </c>
      <c r="F800" s="7" t="s">
        <v>59</v>
      </c>
      <c r="G800" s="7" t="s">
        <v>43</v>
      </c>
      <c r="H800" s="7" t="s">
        <v>60</v>
      </c>
      <c r="I800" s="7">
        <v>8</v>
      </c>
      <c r="J800" s="9">
        <v>146.63999999999999</v>
      </c>
      <c r="K800" s="10">
        <v>0.1144</v>
      </c>
      <c r="L800" s="9">
        <f t="shared" si="24"/>
        <v>1038.9150719999998</v>
      </c>
      <c r="M800" s="9">
        <f>ROUND(L800*0.2489,2)</f>
        <v>258.58999999999997</v>
      </c>
      <c r="N800" s="9">
        <f t="shared" si="25"/>
        <v>780.32507199999986</v>
      </c>
    </row>
    <row r="801" spans="1:14" x14ac:dyDescent="0.35">
      <c r="A801" s="7" t="s">
        <v>884</v>
      </c>
      <c r="B801" s="8">
        <v>45927</v>
      </c>
      <c r="C801" s="7" t="s">
        <v>52</v>
      </c>
      <c r="D801" s="7" t="s">
        <v>53</v>
      </c>
      <c r="E801" s="7" t="s">
        <v>58</v>
      </c>
      <c r="F801" s="7" t="s">
        <v>59</v>
      </c>
      <c r="G801" s="7" t="s">
        <v>43</v>
      </c>
      <c r="H801" s="7" t="s">
        <v>71</v>
      </c>
      <c r="I801" s="7">
        <v>6</v>
      </c>
      <c r="J801" s="9">
        <v>707.32</v>
      </c>
      <c r="K801" s="10">
        <v>9.4500000000000001E-2</v>
      </c>
      <c r="L801" s="9">
        <f t="shared" si="24"/>
        <v>3842.8695600000001</v>
      </c>
      <c r="M801" s="9">
        <f>ROUND(L801*0.6919,2)</f>
        <v>2658.88</v>
      </c>
      <c r="N801" s="9">
        <f t="shared" si="25"/>
        <v>1183.98956</v>
      </c>
    </row>
    <row r="802" spans="1:14" x14ac:dyDescent="0.35">
      <c r="A802" s="7" t="s">
        <v>885</v>
      </c>
      <c r="B802" s="8">
        <v>45928</v>
      </c>
      <c r="C802" s="7" t="s">
        <v>46</v>
      </c>
      <c r="D802" s="7" t="s">
        <v>66</v>
      </c>
      <c r="E802" s="7" t="s">
        <v>98</v>
      </c>
      <c r="F802" s="7" t="s">
        <v>48</v>
      </c>
      <c r="G802" s="7" t="s">
        <v>55</v>
      </c>
      <c r="H802" s="7" t="s">
        <v>74</v>
      </c>
      <c r="I802" s="7">
        <v>1</v>
      </c>
      <c r="J802" s="9">
        <v>29.81</v>
      </c>
      <c r="K802" s="10">
        <v>2.8000000000000001E-2</v>
      </c>
      <c r="L802" s="9">
        <f t="shared" si="24"/>
        <v>28.975319999999996</v>
      </c>
      <c r="M802" s="9">
        <f>ROUND(L802*0.5749,2)</f>
        <v>16.66</v>
      </c>
      <c r="N802" s="9">
        <f t="shared" si="25"/>
        <v>12.315319999999996</v>
      </c>
    </row>
    <row r="803" spans="1:14" x14ac:dyDescent="0.35">
      <c r="A803" s="7" t="s">
        <v>886</v>
      </c>
      <c r="B803" s="8">
        <v>45928</v>
      </c>
      <c r="C803" s="7" t="s">
        <v>76</v>
      </c>
      <c r="D803" s="7" t="s">
        <v>53</v>
      </c>
      <c r="E803" s="7" t="s">
        <v>105</v>
      </c>
      <c r="F803" s="7" t="s">
        <v>42</v>
      </c>
      <c r="G803" s="7" t="s">
        <v>43</v>
      </c>
      <c r="H803" s="7" t="s">
        <v>110</v>
      </c>
      <c r="I803" s="7">
        <v>20</v>
      </c>
      <c r="J803" s="9">
        <v>435.24</v>
      </c>
      <c r="K803" s="10">
        <v>0.20960000000000001</v>
      </c>
      <c r="L803" s="9">
        <f t="shared" si="24"/>
        <v>6880.2739199999996</v>
      </c>
      <c r="M803" s="9">
        <f>ROUND(L803*0.689,2)</f>
        <v>4740.51</v>
      </c>
      <c r="N803" s="9">
        <f t="shared" si="25"/>
        <v>2139.7639199999994</v>
      </c>
    </row>
    <row r="804" spans="1:14" x14ac:dyDescent="0.35">
      <c r="A804" s="7" t="s">
        <v>887</v>
      </c>
      <c r="B804" s="8">
        <v>45928</v>
      </c>
      <c r="C804" s="7" t="s">
        <v>76</v>
      </c>
      <c r="D804" s="7" t="s">
        <v>40</v>
      </c>
      <c r="E804" s="7" t="s">
        <v>47</v>
      </c>
      <c r="F804" s="7" t="s">
        <v>48</v>
      </c>
      <c r="G804" s="7" t="s">
        <v>49</v>
      </c>
      <c r="H804" s="7" t="s">
        <v>151</v>
      </c>
      <c r="I804" s="7">
        <v>3</v>
      </c>
      <c r="J804" s="9">
        <v>246.96</v>
      </c>
      <c r="K804" s="10">
        <v>3.9100000000000003E-2</v>
      </c>
      <c r="L804" s="9">
        <f t="shared" si="24"/>
        <v>711.91159199999993</v>
      </c>
      <c r="M804" s="9">
        <f>ROUND(L804*0.6403,2)</f>
        <v>455.84</v>
      </c>
      <c r="N804" s="9">
        <f t="shared" si="25"/>
        <v>256.07159199999995</v>
      </c>
    </row>
    <row r="805" spans="1:14" x14ac:dyDescent="0.35">
      <c r="A805" s="7" t="s">
        <v>888</v>
      </c>
      <c r="B805" s="8">
        <v>45928</v>
      </c>
      <c r="C805" s="7" t="s">
        <v>46</v>
      </c>
      <c r="D805" s="7" t="s">
        <v>69</v>
      </c>
      <c r="E805" s="7" t="s">
        <v>107</v>
      </c>
      <c r="F805" s="7" t="s">
        <v>59</v>
      </c>
      <c r="G805" s="7" t="s">
        <v>43</v>
      </c>
      <c r="H805" s="7" t="s">
        <v>95</v>
      </c>
      <c r="I805" s="7">
        <v>7</v>
      </c>
      <c r="J805" s="9">
        <v>58.34</v>
      </c>
      <c r="K805" s="10">
        <v>0.1056</v>
      </c>
      <c r="L805" s="9">
        <f t="shared" si="24"/>
        <v>365.25507199999998</v>
      </c>
      <c r="M805" s="9">
        <f>ROUND(L805*0.2258,2)</f>
        <v>82.47</v>
      </c>
      <c r="N805" s="9">
        <f t="shared" si="25"/>
        <v>282.78507200000001</v>
      </c>
    </row>
    <row r="806" spans="1:14" x14ac:dyDescent="0.35">
      <c r="A806" s="7" t="s">
        <v>889</v>
      </c>
      <c r="B806" s="8">
        <v>45928</v>
      </c>
      <c r="C806" s="7" t="s">
        <v>52</v>
      </c>
      <c r="D806" s="7" t="s">
        <v>40</v>
      </c>
      <c r="E806" s="7" t="s">
        <v>139</v>
      </c>
      <c r="F806" s="7" t="s">
        <v>59</v>
      </c>
      <c r="G806" s="7" t="s">
        <v>43</v>
      </c>
      <c r="H806" s="7" t="s">
        <v>83</v>
      </c>
      <c r="I806" s="7">
        <v>9</v>
      </c>
      <c r="J806" s="9">
        <v>331.61</v>
      </c>
      <c r="K806" s="10">
        <v>0.11749999999999999</v>
      </c>
      <c r="L806" s="9">
        <f t="shared" si="24"/>
        <v>2633.8124250000005</v>
      </c>
      <c r="M806" s="9">
        <f>ROUND(L806*0.6697,2)</f>
        <v>1763.86</v>
      </c>
      <c r="N806" s="9">
        <f t="shared" si="25"/>
        <v>869.95242500000063</v>
      </c>
    </row>
    <row r="807" spans="1:14" x14ac:dyDescent="0.35">
      <c r="A807" s="7" t="s">
        <v>890</v>
      </c>
      <c r="B807" s="8">
        <v>45928</v>
      </c>
      <c r="C807" s="7" t="s">
        <v>76</v>
      </c>
      <c r="D807" s="7" t="s">
        <v>53</v>
      </c>
      <c r="E807" s="7" t="s">
        <v>54</v>
      </c>
      <c r="F807" s="7" t="s">
        <v>48</v>
      </c>
      <c r="G807" s="7" t="s">
        <v>55</v>
      </c>
      <c r="H807" s="7" t="s">
        <v>78</v>
      </c>
      <c r="I807" s="7">
        <v>3</v>
      </c>
      <c r="J807" s="9">
        <v>1297.22</v>
      </c>
      <c r="K807" s="10">
        <v>5.4399999999999997E-2</v>
      </c>
      <c r="L807" s="9">
        <f t="shared" si="24"/>
        <v>3679.953696</v>
      </c>
      <c r="M807" s="9">
        <f>ROUND(L807*0.6894,2)</f>
        <v>2536.96</v>
      </c>
      <c r="N807" s="9">
        <f t="shared" si="25"/>
        <v>1142.993696</v>
      </c>
    </row>
    <row r="808" spans="1:14" x14ac:dyDescent="0.35">
      <c r="A808" s="7" t="s">
        <v>891</v>
      </c>
      <c r="B808" s="8">
        <v>45929</v>
      </c>
      <c r="C808" s="7" t="s">
        <v>76</v>
      </c>
      <c r="D808" s="7" t="s">
        <v>53</v>
      </c>
      <c r="E808" s="7" t="s">
        <v>81</v>
      </c>
      <c r="F808" s="7" t="s">
        <v>48</v>
      </c>
      <c r="G808" s="7" t="s">
        <v>55</v>
      </c>
      <c r="H808" s="7" t="s">
        <v>78</v>
      </c>
      <c r="I808" s="7">
        <v>1</v>
      </c>
      <c r="J808" s="9">
        <v>1117.1500000000001</v>
      </c>
      <c r="K808" s="10">
        <v>2.7E-2</v>
      </c>
      <c r="L808" s="9">
        <f t="shared" si="24"/>
        <v>1086.98695</v>
      </c>
      <c r="M808" s="9">
        <f>ROUND(L808*0.7063,2)</f>
        <v>767.74</v>
      </c>
      <c r="N808" s="9">
        <f t="shared" si="25"/>
        <v>319.24694999999997</v>
      </c>
    </row>
    <row r="809" spans="1:14" x14ac:dyDescent="0.35">
      <c r="A809" s="7" t="s">
        <v>892</v>
      </c>
      <c r="B809" s="8">
        <v>45929</v>
      </c>
      <c r="C809" s="7" t="s">
        <v>39</v>
      </c>
      <c r="D809" s="7" t="s">
        <v>53</v>
      </c>
      <c r="E809" s="7" t="s">
        <v>87</v>
      </c>
      <c r="F809" s="7" t="s">
        <v>48</v>
      </c>
      <c r="G809" s="7" t="s">
        <v>55</v>
      </c>
      <c r="H809" s="7" t="s">
        <v>108</v>
      </c>
      <c r="I809" s="7">
        <v>3</v>
      </c>
      <c r="J809" s="9">
        <v>865.34</v>
      </c>
      <c r="K809" s="10">
        <v>6.1600000000000002E-2</v>
      </c>
      <c r="L809" s="9">
        <f t="shared" si="24"/>
        <v>2436.105168</v>
      </c>
      <c r="M809" s="9">
        <f>ROUND(L809*0.7058,2)</f>
        <v>1719.4</v>
      </c>
      <c r="N809" s="9">
        <f t="shared" si="25"/>
        <v>716.70516799999996</v>
      </c>
    </row>
    <row r="810" spans="1:14" x14ac:dyDescent="0.35">
      <c r="A810" s="7" t="s">
        <v>893</v>
      </c>
      <c r="B810" s="8">
        <v>45929</v>
      </c>
      <c r="C810" s="7" t="s">
        <v>52</v>
      </c>
      <c r="D810" s="7" t="s">
        <v>40</v>
      </c>
      <c r="E810" s="7" t="s">
        <v>41</v>
      </c>
      <c r="F810" s="7" t="s">
        <v>59</v>
      </c>
      <c r="G810" s="7" t="s">
        <v>49</v>
      </c>
      <c r="H810" s="7" t="s">
        <v>83</v>
      </c>
      <c r="I810" s="7">
        <v>9</v>
      </c>
      <c r="J810" s="9">
        <v>372.19</v>
      </c>
      <c r="K810" s="10">
        <v>0.1135</v>
      </c>
      <c r="L810" s="9">
        <f t="shared" si="24"/>
        <v>2969.5179149999999</v>
      </c>
      <c r="M810" s="9">
        <f>ROUND(L810*0.6215,2)</f>
        <v>1845.56</v>
      </c>
      <c r="N810" s="9">
        <f t="shared" si="25"/>
        <v>1123.957915</v>
      </c>
    </row>
    <row r="811" spans="1:14" x14ac:dyDescent="0.35">
      <c r="A811" s="7" t="s">
        <v>894</v>
      </c>
      <c r="B811" s="8">
        <v>45929</v>
      </c>
      <c r="C811" s="7" t="s">
        <v>52</v>
      </c>
      <c r="D811" s="7" t="s">
        <v>53</v>
      </c>
      <c r="E811" s="7" t="s">
        <v>81</v>
      </c>
      <c r="F811" s="7" t="s">
        <v>48</v>
      </c>
      <c r="G811" s="7" t="s">
        <v>49</v>
      </c>
      <c r="H811" s="7" t="s">
        <v>83</v>
      </c>
      <c r="I811" s="7">
        <v>2</v>
      </c>
      <c r="J811" s="9">
        <v>1033.3499999999999</v>
      </c>
      <c r="K811" s="10">
        <v>4.6100000000000002E-2</v>
      </c>
      <c r="L811" s="9">
        <f t="shared" si="24"/>
        <v>1971.4251299999999</v>
      </c>
      <c r="M811" s="9">
        <f>ROUND(L811*0.6877,2)</f>
        <v>1355.75</v>
      </c>
      <c r="N811" s="9">
        <f t="shared" si="25"/>
        <v>615.67512999999985</v>
      </c>
    </row>
    <row r="812" spans="1:14" x14ac:dyDescent="0.35">
      <c r="A812" s="7" t="s">
        <v>895</v>
      </c>
      <c r="B812" s="8">
        <v>45929</v>
      </c>
      <c r="C812" s="7" t="s">
        <v>52</v>
      </c>
      <c r="D812" s="7" t="s">
        <v>69</v>
      </c>
      <c r="E812" s="7" t="s">
        <v>119</v>
      </c>
      <c r="F812" s="7" t="s">
        <v>59</v>
      </c>
      <c r="G812" s="7" t="s">
        <v>49</v>
      </c>
      <c r="H812" s="7" t="s">
        <v>71</v>
      </c>
      <c r="I812" s="7">
        <v>4</v>
      </c>
      <c r="J812" s="9">
        <v>191.75</v>
      </c>
      <c r="K812" s="10">
        <v>9.3899999999999997E-2</v>
      </c>
      <c r="L812" s="9">
        <f t="shared" si="24"/>
        <v>694.9787</v>
      </c>
      <c r="M812" s="9">
        <f>ROUND(L812*0.217,2)</f>
        <v>150.81</v>
      </c>
      <c r="N812" s="9">
        <f t="shared" si="25"/>
        <v>544.16869999999994</v>
      </c>
    </row>
    <row r="813" spans="1:14" x14ac:dyDescent="0.35">
      <c r="A813" s="7" t="s">
        <v>896</v>
      </c>
      <c r="B813" s="8">
        <v>45929</v>
      </c>
      <c r="C813" s="7" t="s">
        <v>46</v>
      </c>
      <c r="D813" s="7" t="s">
        <v>69</v>
      </c>
      <c r="E813" s="7" t="s">
        <v>119</v>
      </c>
      <c r="F813" s="7" t="s">
        <v>48</v>
      </c>
      <c r="G813" s="7" t="s">
        <v>43</v>
      </c>
      <c r="H813" s="7" t="s">
        <v>95</v>
      </c>
      <c r="I813" s="7">
        <v>2</v>
      </c>
      <c r="J813" s="9">
        <v>188.97</v>
      </c>
      <c r="K813" s="10">
        <v>3.6799999999999999E-2</v>
      </c>
      <c r="L813" s="9">
        <f t="shared" si="24"/>
        <v>364.03180800000001</v>
      </c>
      <c r="M813" s="9">
        <f>ROUND(L813*0.2189,2)</f>
        <v>79.69</v>
      </c>
      <c r="N813" s="9">
        <f t="shared" si="25"/>
        <v>284.34180800000001</v>
      </c>
    </row>
    <row r="814" spans="1:14" x14ac:dyDescent="0.35">
      <c r="A814" s="7" t="s">
        <v>897</v>
      </c>
      <c r="B814" s="8">
        <v>45929</v>
      </c>
      <c r="C814" s="7" t="s">
        <v>76</v>
      </c>
      <c r="D814" s="7" t="s">
        <v>69</v>
      </c>
      <c r="E814" s="7" t="s">
        <v>70</v>
      </c>
      <c r="F814" s="7" t="s">
        <v>59</v>
      </c>
      <c r="G814" s="7" t="s">
        <v>49</v>
      </c>
      <c r="H814" s="7" t="s">
        <v>110</v>
      </c>
      <c r="I814" s="7">
        <v>6</v>
      </c>
      <c r="J814" s="9">
        <v>141.66999999999999</v>
      </c>
      <c r="K814" s="10">
        <v>9.0300000000000005E-2</v>
      </c>
      <c r="L814" s="9">
        <f t="shared" si="24"/>
        <v>773.263194</v>
      </c>
      <c r="M814" s="9">
        <f>ROUND(L814*0.2483,2)</f>
        <v>192</v>
      </c>
      <c r="N814" s="9">
        <f t="shared" si="25"/>
        <v>581.263194</v>
      </c>
    </row>
    <row r="815" spans="1:14" x14ac:dyDescent="0.35">
      <c r="A815" s="7" t="s">
        <v>898</v>
      </c>
      <c r="B815" s="8">
        <v>45930</v>
      </c>
      <c r="C815" s="7" t="s">
        <v>52</v>
      </c>
      <c r="D815" s="7" t="s">
        <v>66</v>
      </c>
      <c r="E815" s="7" t="s">
        <v>98</v>
      </c>
      <c r="F815" s="7" t="s">
        <v>48</v>
      </c>
      <c r="G815" s="7" t="s">
        <v>55</v>
      </c>
      <c r="H815" s="7" t="s">
        <v>56</v>
      </c>
      <c r="I815" s="7">
        <v>2</v>
      </c>
      <c r="J815" s="9">
        <v>27.92</v>
      </c>
      <c r="K815" s="10">
        <v>3.8100000000000002E-2</v>
      </c>
      <c r="L815" s="9">
        <f t="shared" si="24"/>
        <v>53.712496000000002</v>
      </c>
      <c r="M815" s="9">
        <f>ROUND(L815*0.5896,2)</f>
        <v>31.67</v>
      </c>
      <c r="N815" s="9">
        <f t="shared" si="25"/>
        <v>22.042496</v>
      </c>
    </row>
    <row r="816" spans="1:14" x14ac:dyDescent="0.35">
      <c r="A816" s="7" t="s">
        <v>899</v>
      </c>
      <c r="B816" s="8">
        <v>45930</v>
      </c>
      <c r="C816" s="7" t="s">
        <v>52</v>
      </c>
      <c r="D816" s="7" t="s">
        <v>69</v>
      </c>
      <c r="E816" s="7" t="s">
        <v>70</v>
      </c>
      <c r="F816" s="7" t="s">
        <v>59</v>
      </c>
      <c r="G816" s="7" t="s">
        <v>55</v>
      </c>
      <c r="H816" s="7" t="s">
        <v>56</v>
      </c>
      <c r="I816" s="7">
        <v>3</v>
      </c>
      <c r="J816" s="9">
        <v>143.1</v>
      </c>
      <c r="K816" s="10">
        <v>9.6299999999999997E-2</v>
      </c>
      <c r="L816" s="9">
        <f t="shared" si="24"/>
        <v>387.95840999999996</v>
      </c>
      <c r="M816" s="9">
        <f>ROUND(L816*0.2329,2)</f>
        <v>90.36</v>
      </c>
      <c r="N816" s="9">
        <f t="shared" si="25"/>
        <v>297.59840999999994</v>
      </c>
    </row>
    <row r="817" spans="1:14" x14ac:dyDescent="0.35">
      <c r="A817" s="7" t="s">
        <v>900</v>
      </c>
      <c r="B817" s="8">
        <v>45931</v>
      </c>
      <c r="C817" s="7" t="s">
        <v>52</v>
      </c>
      <c r="D817" s="7" t="s">
        <v>40</v>
      </c>
      <c r="E817" s="7" t="s">
        <v>62</v>
      </c>
      <c r="F817" s="7" t="s">
        <v>48</v>
      </c>
      <c r="G817" s="7" t="s">
        <v>55</v>
      </c>
      <c r="H817" s="7" t="s">
        <v>56</v>
      </c>
      <c r="I817" s="7">
        <v>3</v>
      </c>
      <c r="J817" s="9">
        <v>206.38</v>
      </c>
      <c r="K817" s="10">
        <v>6.4799999999999996E-2</v>
      </c>
      <c r="L817" s="9">
        <f t="shared" si="24"/>
        <v>579.01972799999999</v>
      </c>
      <c r="M817" s="9">
        <f>ROUND(L817*0.6248,2)</f>
        <v>361.77</v>
      </c>
      <c r="N817" s="9">
        <f t="shared" si="25"/>
        <v>217.249728</v>
      </c>
    </row>
    <row r="818" spans="1:14" x14ac:dyDescent="0.35">
      <c r="A818" s="7" t="s">
        <v>901</v>
      </c>
      <c r="B818" s="8">
        <v>45931</v>
      </c>
      <c r="C818" s="7" t="s">
        <v>39</v>
      </c>
      <c r="D818" s="7" t="s">
        <v>66</v>
      </c>
      <c r="E818" s="7" t="s">
        <v>77</v>
      </c>
      <c r="F818" s="7" t="s">
        <v>59</v>
      </c>
      <c r="G818" s="7" t="s">
        <v>49</v>
      </c>
      <c r="H818" s="7" t="s">
        <v>60</v>
      </c>
      <c r="I818" s="7">
        <v>3</v>
      </c>
      <c r="J818" s="9">
        <v>95.43</v>
      </c>
      <c r="K818" s="10">
        <v>0.10150000000000001</v>
      </c>
      <c r="L818" s="9">
        <f t="shared" si="24"/>
        <v>257.23156499999999</v>
      </c>
      <c r="M818" s="9">
        <f>ROUND(L818*0.562,2)</f>
        <v>144.56</v>
      </c>
      <c r="N818" s="9">
        <f t="shared" si="25"/>
        <v>112.67156499999999</v>
      </c>
    </row>
    <row r="819" spans="1:14" x14ac:dyDescent="0.35">
      <c r="A819" s="7" t="s">
        <v>902</v>
      </c>
      <c r="B819" s="8">
        <v>45931</v>
      </c>
      <c r="C819" s="7" t="s">
        <v>46</v>
      </c>
      <c r="D819" s="7" t="s">
        <v>69</v>
      </c>
      <c r="E819" s="7" t="s">
        <v>119</v>
      </c>
      <c r="F819" s="7" t="s">
        <v>59</v>
      </c>
      <c r="G819" s="7" t="s">
        <v>49</v>
      </c>
      <c r="H819" s="7" t="s">
        <v>50</v>
      </c>
      <c r="I819" s="7">
        <v>3</v>
      </c>
      <c r="J819" s="9">
        <v>192.32</v>
      </c>
      <c r="K819" s="10">
        <v>7.9600000000000004E-2</v>
      </c>
      <c r="L819" s="9">
        <f t="shared" si="24"/>
        <v>531.03398400000003</v>
      </c>
      <c r="M819" s="9">
        <f>ROUND(L819*0.2215,2)</f>
        <v>117.62</v>
      </c>
      <c r="N819" s="9">
        <f t="shared" si="25"/>
        <v>413.41398400000003</v>
      </c>
    </row>
    <row r="820" spans="1:14" x14ac:dyDescent="0.35">
      <c r="A820" s="7" t="s">
        <v>903</v>
      </c>
      <c r="B820" s="8">
        <v>45931</v>
      </c>
      <c r="C820" s="7" t="s">
        <v>39</v>
      </c>
      <c r="D820" s="7" t="s">
        <v>40</v>
      </c>
      <c r="E820" s="7" t="s">
        <v>41</v>
      </c>
      <c r="F820" s="7" t="s">
        <v>48</v>
      </c>
      <c r="G820" s="7" t="s">
        <v>55</v>
      </c>
      <c r="H820" s="7" t="s">
        <v>108</v>
      </c>
      <c r="I820" s="7">
        <v>1</v>
      </c>
      <c r="J820" s="9">
        <v>406.76</v>
      </c>
      <c r="K820" s="10">
        <v>6.9000000000000006E-2</v>
      </c>
      <c r="L820" s="9">
        <f t="shared" si="24"/>
        <v>378.69355999999999</v>
      </c>
      <c r="M820" s="9">
        <f>ROUND(L820*0.6508,2)</f>
        <v>246.45</v>
      </c>
      <c r="N820" s="9">
        <f t="shared" si="25"/>
        <v>132.24356</v>
      </c>
    </row>
    <row r="821" spans="1:14" x14ac:dyDescent="0.35">
      <c r="A821" s="7" t="s">
        <v>904</v>
      </c>
      <c r="B821" s="8">
        <v>45932</v>
      </c>
      <c r="C821" s="7" t="s">
        <v>52</v>
      </c>
      <c r="D821" s="7" t="s">
        <v>53</v>
      </c>
      <c r="E821" s="7" t="s">
        <v>58</v>
      </c>
      <c r="F821" s="7" t="s">
        <v>48</v>
      </c>
      <c r="G821" s="7" t="s">
        <v>55</v>
      </c>
      <c r="H821" s="7" t="s">
        <v>56</v>
      </c>
      <c r="I821" s="7">
        <v>3</v>
      </c>
      <c r="J821" s="9">
        <v>712.91</v>
      </c>
      <c r="K821" s="10">
        <v>5.3499999999999999E-2</v>
      </c>
      <c r="L821" s="9">
        <f t="shared" si="24"/>
        <v>2024.307945</v>
      </c>
      <c r="M821" s="9">
        <f>ROUND(L821*0.6841,2)</f>
        <v>1384.83</v>
      </c>
      <c r="N821" s="9">
        <f t="shared" si="25"/>
        <v>639.47794500000009</v>
      </c>
    </row>
    <row r="822" spans="1:14" x14ac:dyDescent="0.35">
      <c r="A822" s="7" t="s">
        <v>905</v>
      </c>
      <c r="B822" s="8">
        <v>45932</v>
      </c>
      <c r="C822" s="7" t="s">
        <v>46</v>
      </c>
      <c r="D822" s="7" t="s">
        <v>66</v>
      </c>
      <c r="E822" s="7" t="s">
        <v>73</v>
      </c>
      <c r="F822" s="7" t="s">
        <v>48</v>
      </c>
      <c r="G822" s="7" t="s">
        <v>49</v>
      </c>
      <c r="H822" s="7" t="s">
        <v>50</v>
      </c>
      <c r="I822" s="7">
        <v>2</v>
      </c>
      <c r="J822" s="9">
        <v>37.020000000000003</v>
      </c>
      <c r="K822" s="10">
        <v>8.2100000000000006E-2</v>
      </c>
      <c r="L822" s="9">
        <f t="shared" si="24"/>
        <v>67.961315999999997</v>
      </c>
      <c r="M822" s="9">
        <f>ROUND(L822*0.5896,2)</f>
        <v>40.07</v>
      </c>
      <c r="N822" s="9">
        <f t="shared" si="25"/>
        <v>27.891315999999996</v>
      </c>
    </row>
    <row r="823" spans="1:14" x14ac:dyDescent="0.35">
      <c r="A823" s="7" t="s">
        <v>906</v>
      </c>
      <c r="B823" s="8">
        <v>45932</v>
      </c>
      <c r="C823" s="7" t="s">
        <v>46</v>
      </c>
      <c r="D823" s="7" t="s">
        <v>66</v>
      </c>
      <c r="E823" s="7" t="s">
        <v>137</v>
      </c>
      <c r="F823" s="7" t="s">
        <v>59</v>
      </c>
      <c r="G823" s="7" t="s">
        <v>43</v>
      </c>
      <c r="H823" s="7" t="s">
        <v>50</v>
      </c>
      <c r="I823" s="7">
        <v>4</v>
      </c>
      <c r="J823" s="9">
        <v>155.18</v>
      </c>
      <c r="K823" s="10">
        <v>0.15640000000000001</v>
      </c>
      <c r="L823" s="9">
        <f t="shared" si="24"/>
        <v>523.63939200000004</v>
      </c>
      <c r="M823" s="9">
        <f>ROUND(L823*0.5503,2)</f>
        <v>288.16000000000003</v>
      </c>
      <c r="N823" s="9">
        <f t="shared" si="25"/>
        <v>235.47939200000002</v>
      </c>
    </row>
    <row r="824" spans="1:14" x14ac:dyDescent="0.35">
      <c r="A824" s="7" t="s">
        <v>907</v>
      </c>
      <c r="B824" s="8">
        <v>45932</v>
      </c>
      <c r="C824" s="7" t="s">
        <v>52</v>
      </c>
      <c r="D824" s="7" t="s">
        <v>69</v>
      </c>
      <c r="E824" s="7" t="s">
        <v>113</v>
      </c>
      <c r="F824" s="7" t="s">
        <v>59</v>
      </c>
      <c r="G824" s="7" t="s">
        <v>55</v>
      </c>
      <c r="H824" s="7" t="s">
        <v>56</v>
      </c>
      <c r="I824" s="7">
        <v>3</v>
      </c>
      <c r="J824" s="9">
        <v>242.95</v>
      </c>
      <c r="K824" s="10">
        <v>8.9899999999999994E-2</v>
      </c>
      <c r="L824" s="9">
        <f t="shared" si="24"/>
        <v>663.32638499999996</v>
      </c>
      <c r="M824" s="9">
        <f>ROUND(L824*0.2338,2)</f>
        <v>155.09</v>
      </c>
      <c r="N824" s="9">
        <f t="shared" si="25"/>
        <v>508.23638499999993</v>
      </c>
    </row>
    <row r="825" spans="1:14" x14ac:dyDescent="0.35">
      <c r="A825" s="7" t="s">
        <v>908</v>
      </c>
      <c r="B825" s="8">
        <v>45932</v>
      </c>
      <c r="C825" s="7" t="s">
        <v>39</v>
      </c>
      <c r="D825" s="7" t="s">
        <v>40</v>
      </c>
      <c r="E825" s="7" t="s">
        <v>139</v>
      </c>
      <c r="F825" s="7" t="s">
        <v>42</v>
      </c>
      <c r="G825" s="7" t="s">
        <v>43</v>
      </c>
      <c r="H825" s="7" t="s">
        <v>60</v>
      </c>
      <c r="I825" s="7">
        <v>32</v>
      </c>
      <c r="J825" s="9">
        <v>316.83999999999997</v>
      </c>
      <c r="K825" s="10">
        <v>0.18</v>
      </c>
      <c r="L825" s="9">
        <f t="shared" si="24"/>
        <v>8313.8816000000006</v>
      </c>
      <c r="M825" s="9">
        <f>ROUND(L825*0.6496,2)</f>
        <v>5400.7</v>
      </c>
      <c r="N825" s="9">
        <f t="shared" si="25"/>
        <v>2913.1816000000008</v>
      </c>
    </row>
    <row r="826" spans="1:14" x14ac:dyDescent="0.35">
      <c r="A826" s="7" t="s">
        <v>909</v>
      </c>
      <c r="B826" s="8">
        <v>45933</v>
      </c>
      <c r="C826" s="7" t="s">
        <v>52</v>
      </c>
      <c r="D826" s="7" t="s">
        <v>66</v>
      </c>
      <c r="E826" s="7" t="s">
        <v>77</v>
      </c>
      <c r="F826" s="7" t="s">
        <v>48</v>
      </c>
      <c r="G826" s="7" t="s">
        <v>55</v>
      </c>
      <c r="H826" s="7" t="s">
        <v>56</v>
      </c>
      <c r="I826" s="7">
        <v>3</v>
      </c>
      <c r="J826" s="9">
        <v>100.14</v>
      </c>
      <c r="K826" s="10">
        <v>5.8299999999999998E-2</v>
      </c>
      <c r="L826" s="9">
        <f t="shared" si="24"/>
        <v>282.90551399999998</v>
      </c>
      <c r="M826" s="9">
        <f>ROUND(L826*0.6056,2)</f>
        <v>171.33</v>
      </c>
      <c r="N826" s="9">
        <f t="shared" si="25"/>
        <v>111.57551399999997</v>
      </c>
    </row>
    <row r="827" spans="1:14" x14ac:dyDescent="0.35">
      <c r="A827" s="7" t="s">
        <v>910</v>
      </c>
      <c r="B827" s="8">
        <v>45933</v>
      </c>
      <c r="C827" s="7" t="s">
        <v>39</v>
      </c>
      <c r="D827" s="7" t="s">
        <v>66</v>
      </c>
      <c r="E827" s="7" t="s">
        <v>98</v>
      </c>
      <c r="F827" s="7" t="s">
        <v>48</v>
      </c>
      <c r="G827" s="7" t="s">
        <v>49</v>
      </c>
      <c r="H827" s="7" t="s">
        <v>44</v>
      </c>
      <c r="I827" s="7">
        <v>2</v>
      </c>
      <c r="J827" s="9">
        <v>27.88</v>
      </c>
      <c r="K827" s="10">
        <v>4.87E-2</v>
      </c>
      <c r="L827" s="9">
        <f t="shared" si="24"/>
        <v>53.044488000000001</v>
      </c>
      <c r="M827" s="9">
        <f>ROUND(L827*0.5577,2)</f>
        <v>29.58</v>
      </c>
      <c r="N827" s="9">
        <f t="shared" si="25"/>
        <v>23.464488000000003</v>
      </c>
    </row>
    <row r="828" spans="1:14" x14ac:dyDescent="0.35">
      <c r="A828" s="7" t="s">
        <v>911</v>
      </c>
      <c r="B828" s="8">
        <v>45934</v>
      </c>
      <c r="C828" s="7" t="s">
        <v>76</v>
      </c>
      <c r="D828" s="7" t="s">
        <v>66</v>
      </c>
      <c r="E828" s="7" t="s">
        <v>77</v>
      </c>
      <c r="F828" s="7" t="s">
        <v>59</v>
      </c>
      <c r="G828" s="7" t="s">
        <v>55</v>
      </c>
      <c r="H828" s="7" t="s">
        <v>78</v>
      </c>
      <c r="I828" s="7">
        <v>6</v>
      </c>
      <c r="J828" s="9">
        <v>102.2</v>
      </c>
      <c r="K828" s="10">
        <v>5.8400000000000001E-2</v>
      </c>
      <c r="L828" s="9">
        <f t="shared" si="24"/>
        <v>577.38912000000005</v>
      </c>
      <c r="M828" s="9">
        <f>ROUND(L828*0.5805,2)</f>
        <v>335.17</v>
      </c>
      <c r="N828" s="9">
        <f t="shared" si="25"/>
        <v>242.21912000000003</v>
      </c>
    </row>
    <row r="829" spans="1:14" x14ac:dyDescent="0.35">
      <c r="A829" s="7" t="s">
        <v>912</v>
      </c>
      <c r="B829" s="8">
        <v>45934</v>
      </c>
      <c r="C829" s="7" t="s">
        <v>76</v>
      </c>
      <c r="D829" s="7" t="s">
        <v>66</v>
      </c>
      <c r="E829" s="7" t="s">
        <v>67</v>
      </c>
      <c r="F829" s="7" t="s">
        <v>48</v>
      </c>
      <c r="G829" s="7" t="s">
        <v>55</v>
      </c>
      <c r="H829" s="7" t="s">
        <v>78</v>
      </c>
      <c r="I829" s="7">
        <v>1</v>
      </c>
      <c r="J829" s="9">
        <v>90.25</v>
      </c>
      <c r="K829" s="10">
        <v>2.2599999999999999E-2</v>
      </c>
      <c r="L829" s="9">
        <f t="shared" si="24"/>
        <v>88.210350000000005</v>
      </c>
      <c r="M829" s="9">
        <f>ROUND(L829*0.5947,2)</f>
        <v>52.46</v>
      </c>
      <c r="N829" s="9">
        <f t="shared" si="25"/>
        <v>35.750350000000005</v>
      </c>
    </row>
    <row r="830" spans="1:14" x14ac:dyDescent="0.35">
      <c r="A830" s="7" t="s">
        <v>913</v>
      </c>
      <c r="B830" s="8">
        <v>45934</v>
      </c>
      <c r="C830" s="7" t="s">
        <v>76</v>
      </c>
      <c r="D830" s="7" t="s">
        <v>69</v>
      </c>
      <c r="E830" s="7" t="s">
        <v>70</v>
      </c>
      <c r="F830" s="7" t="s">
        <v>48</v>
      </c>
      <c r="G830" s="7" t="s">
        <v>55</v>
      </c>
      <c r="H830" s="7" t="s">
        <v>78</v>
      </c>
      <c r="I830" s="7">
        <v>2</v>
      </c>
      <c r="J830" s="9">
        <v>143.56</v>
      </c>
      <c r="K830" s="10">
        <v>2.8899999999999999E-2</v>
      </c>
      <c r="L830" s="9">
        <f t="shared" si="24"/>
        <v>278.82223199999999</v>
      </c>
      <c r="M830" s="9">
        <f>ROUND(L830*0.2219,2)</f>
        <v>61.87</v>
      </c>
      <c r="N830" s="9">
        <f t="shared" si="25"/>
        <v>216.95223199999998</v>
      </c>
    </row>
    <row r="831" spans="1:14" x14ac:dyDescent="0.35">
      <c r="A831" s="7" t="s">
        <v>914</v>
      </c>
      <c r="B831" s="8">
        <v>45934</v>
      </c>
      <c r="C831" s="7" t="s">
        <v>52</v>
      </c>
      <c r="D831" s="7" t="s">
        <v>66</v>
      </c>
      <c r="E831" s="7" t="s">
        <v>73</v>
      </c>
      <c r="F831" s="7" t="s">
        <v>48</v>
      </c>
      <c r="G831" s="7" t="s">
        <v>55</v>
      </c>
      <c r="H831" s="7" t="s">
        <v>56</v>
      </c>
      <c r="I831" s="7">
        <v>1</v>
      </c>
      <c r="J831" s="9">
        <v>39.53</v>
      </c>
      <c r="K831" s="10">
        <v>2.9899999999999999E-2</v>
      </c>
      <c r="L831" s="9">
        <f t="shared" si="24"/>
        <v>38.348053</v>
      </c>
      <c r="M831" s="9">
        <f>ROUND(L831*0.5664,2)</f>
        <v>21.72</v>
      </c>
      <c r="N831" s="9">
        <f t="shared" si="25"/>
        <v>16.628053000000001</v>
      </c>
    </row>
    <row r="832" spans="1:14" x14ac:dyDescent="0.35">
      <c r="A832" s="7" t="s">
        <v>915</v>
      </c>
      <c r="B832" s="8">
        <v>45935</v>
      </c>
      <c r="C832" s="7" t="s">
        <v>76</v>
      </c>
      <c r="D832" s="7" t="s">
        <v>40</v>
      </c>
      <c r="E832" s="7" t="s">
        <v>62</v>
      </c>
      <c r="F832" s="7" t="s">
        <v>59</v>
      </c>
      <c r="G832" s="7" t="s">
        <v>43</v>
      </c>
      <c r="H832" s="7" t="s">
        <v>151</v>
      </c>
      <c r="I832" s="7">
        <v>9</v>
      </c>
      <c r="J832" s="9">
        <v>201.04</v>
      </c>
      <c r="K832" s="10">
        <v>9.1899999999999996E-2</v>
      </c>
      <c r="L832" s="9">
        <f t="shared" si="24"/>
        <v>1643.0798159999999</v>
      </c>
      <c r="M832" s="9">
        <f>ROUND(L832*0.6624,2)</f>
        <v>1088.3800000000001</v>
      </c>
      <c r="N832" s="9">
        <f t="shared" si="25"/>
        <v>554.69981599999983</v>
      </c>
    </row>
    <row r="833" spans="1:14" x14ac:dyDescent="0.35">
      <c r="A833" s="7" t="s">
        <v>916</v>
      </c>
      <c r="B833" s="8">
        <v>45935</v>
      </c>
      <c r="C833" s="7" t="s">
        <v>76</v>
      </c>
      <c r="D833" s="7" t="s">
        <v>66</v>
      </c>
      <c r="E833" s="7" t="s">
        <v>67</v>
      </c>
      <c r="F833" s="7" t="s">
        <v>59</v>
      </c>
      <c r="G833" s="7" t="s">
        <v>43</v>
      </c>
      <c r="H833" s="7" t="s">
        <v>110</v>
      </c>
      <c r="I833" s="7">
        <v>3</v>
      </c>
      <c r="J833" s="9">
        <v>86.98</v>
      </c>
      <c r="K833" s="10">
        <v>0.1183</v>
      </c>
      <c r="L833" s="9">
        <f t="shared" si="24"/>
        <v>230.070798</v>
      </c>
      <c r="M833" s="9">
        <f>ROUND(L833*0.5756,2)</f>
        <v>132.43</v>
      </c>
      <c r="N833" s="9">
        <f t="shared" si="25"/>
        <v>97.64079799999999</v>
      </c>
    </row>
    <row r="834" spans="1:14" x14ac:dyDescent="0.35">
      <c r="A834" s="7" t="s">
        <v>917</v>
      </c>
      <c r="B834" s="8">
        <v>45935</v>
      </c>
      <c r="C834" s="7" t="s">
        <v>52</v>
      </c>
      <c r="D834" s="7" t="s">
        <v>66</v>
      </c>
      <c r="E834" s="7" t="s">
        <v>137</v>
      </c>
      <c r="F834" s="7" t="s">
        <v>59</v>
      </c>
      <c r="G834" s="7" t="s">
        <v>49</v>
      </c>
      <c r="H834" s="7" t="s">
        <v>71</v>
      </c>
      <c r="I834" s="7">
        <v>4</v>
      </c>
      <c r="J834" s="9">
        <v>156.63</v>
      </c>
      <c r="K834" s="10">
        <v>0.1099</v>
      </c>
      <c r="L834" s="9">
        <f t="shared" ref="L834:L897" si="26">I834*J834*(1-K834)</f>
        <v>557.66545199999996</v>
      </c>
      <c r="M834" s="9">
        <f>ROUND(L834*0.552,2)</f>
        <v>307.83</v>
      </c>
      <c r="N834" s="9">
        <f t="shared" ref="N834:N897" si="27">L834-M834</f>
        <v>249.83545199999998</v>
      </c>
    </row>
    <row r="835" spans="1:14" x14ac:dyDescent="0.35">
      <c r="A835" s="7" t="s">
        <v>918</v>
      </c>
      <c r="B835" s="8">
        <v>45936</v>
      </c>
      <c r="C835" s="7" t="s">
        <v>76</v>
      </c>
      <c r="D835" s="7" t="s">
        <v>40</v>
      </c>
      <c r="E835" s="7" t="s">
        <v>62</v>
      </c>
      <c r="F835" s="7" t="s">
        <v>42</v>
      </c>
      <c r="G835" s="7" t="s">
        <v>49</v>
      </c>
      <c r="H835" s="7" t="s">
        <v>151</v>
      </c>
      <c r="I835" s="7">
        <v>20</v>
      </c>
      <c r="J835" s="9">
        <v>185.42</v>
      </c>
      <c r="K835" s="10">
        <v>0.15529999999999999</v>
      </c>
      <c r="L835" s="9">
        <f t="shared" si="26"/>
        <v>3132.4854799999998</v>
      </c>
      <c r="M835" s="9">
        <f>ROUND(L835*0.6138,2)</f>
        <v>1922.72</v>
      </c>
      <c r="N835" s="9">
        <f t="shared" si="27"/>
        <v>1209.7654799999998</v>
      </c>
    </row>
    <row r="836" spans="1:14" x14ac:dyDescent="0.35">
      <c r="A836" s="7" t="s">
        <v>919</v>
      </c>
      <c r="B836" s="8">
        <v>45936</v>
      </c>
      <c r="C836" s="7" t="s">
        <v>39</v>
      </c>
      <c r="D836" s="7" t="s">
        <v>40</v>
      </c>
      <c r="E836" s="7" t="s">
        <v>91</v>
      </c>
      <c r="F836" s="7" t="s">
        <v>48</v>
      </c>
      <c r="G836" s="7" t="s">
        <v>55</v>
      </c>
      <c r="H836" s="7" t="s">
        <v>108</v>
      </c>
      <c r="I836" s="7">
        <v>3</v>
      </c>
      <c r="J836" s="9">
        <v>132.66999999999999</v>
      </c>
      <c r="K836" s="10">
        <v>3.5200000000000002E-2</v>
      </c>
      <c r="L836" s="9">
        <f t="shared" si="26"/>
        <v>384.00004799999999</v>
      </c>
      <c r="M836" s="9">
        <f>ROUND(L836*0.6537,2)</f>
        <v>251.02</v>
      </c>
      <c r="N836" s="9">
        <f t="shared" si="27"/>
        <v>132.98004799999998</v>
      </c>
    </row>
    <row r="837" spans="1:14" x14ac:dyDescent="0.35">
      <c r="A837" s="7" t="s">
        <v>920</v>
      </c>
      <c r="B837" s="8">
        <v>45936</v>
      </c>
      <c r="C837" s="7" t="s">
        <v>39</v>
      </c>
      <c r="D837" s="7" t="s">
        <v>53</v>
      </c>
      <c r="E837" s="7" t="s">
        <v>54</v>
      </c>
      <c r="F837" s="7" t="s">
        <v>48</v>
      </c>
      <c r="G837" s="7" t="s">
        <v>55</v>
      </c>
      <c r="H837" s="7" t="s">
        <v>108</v>
      </c>
      <c r="I837" s="7">
        <v>3</v>
      </c>
      <c r="J837" s="9">
        <v>1272.5999999999999</v>
      </c>
      <c r="K837" s="10">
        <v>2.69E-2</v>
      </c>
      <c r="L837" s="9">
        <f t="shared" si="26"/>
        <v>3715.1011799999997</v>
      </c>
      <c r="M837" s="9">
        <f>ROUND(L837*0.6906,2)</f>
        <v>2565.65</v>
      </c>
      <c r="N837" s="9">
        <f t="shared" si="27"/>
        <v>1149.4511799999996</v>
      </c>
    </row>
    <row r="838" spans="1:14" x14ac:dyDescent="0.35">
      <c r="A838" s="7" t="s">
        <v>921</v>
      </c>
      <c r="B838" s="8">
        <v>45936</v>
      </c>
      <c r="C838" s="7" t="s">
        <v>52</v>
      </c>
      <c r="D838" s="7" t="s">
        <v>66</v>
      </c>
      <c r="E838" s="7" t="s">
        <v>77</v>
      </c>
      <c r="F838" s="7" t="s">
        <v>48</v>
      </c>
      <c r="G838" s="7" t="s">
        <v>55</v>
      </c>
      <c r="H838" s="7" t="s">
        <v>56</v>
      </c>
      <c r="I838" s="7">
        <v>3</v>
      </c>
      <c r="J838" s="9">
        <v>100</v>
      </c>
      <c r="K838" s="10">
        <v>4.4699999999999997E-2</v>
      </c>
      <c r="L838" s="9">
        <f t="shared" si="26"/>
        <v>286.59000000000003</v>
      </c>
      <c r="M838" s="9">
        <f>ROUND(L838*0.6061,2)</f>
        <v>173.7</v>
      </c>
      <c r="N838" s="9">
        <f t="shared" si="27"/>
        <v>112.89000000000004</v>
      </c>
    </row>
    <row r="839" spans="1:14" x14ac:dyDescent="0.35">
      <c r="A839" s="7" t="s">
        <v>922</v>
      </c>
      <c r="B839" s="8">
        <v>45936</v>
      </c>
      <c r="C839" s="7" t="s">
        <v>52</v>
      </c>
      <c r="D839" s="7" t="s">
        <v>40</v>
      </c>
      <c r="E839" s="7" t="s">
        <v>41</v>
      </c>
      <c r="F839" s="7" t="s">
        <v>59</v>
      </c>
      <c r="G839" s="7" t="s">
        <v>43</v>
      </c>
      <c r="H839" s="7" t="s">
        <v>71</v>
      </c>
      <c r="I839" s="7">
        <v>9</v>
      </c>
      <c r="J839" s="9">
        <v>378.83</v>
      </c>
      <c r="K839" s="10">
        <v>0.13189999999999999</v>
      </c>
      <c r="L839" s="9">
        <f t="shared" si="26"/>
        <v>2959.7609069999999</v>
      </c>
      <c r="M839" s="9">
        <f>ROUND(L839*0.6274,2)</f>
        <v>1856.95</v>
      </c>
      <c r="N839" s="9">
        <f t="shared" si="27"/>
        <v>1102.8109069999998</v>
      </c>
    </row>
    <row r="840" spans="1:14" x14ac:dyDescent="0.35">
      <c r="A840" s="7" t="s">
        <v>923</v>
      </c>
      <c r="B840" s="8">
        <v>45938</v>
      </c>
      <c r="C840" s="7" t="s">
        <v>46</v>
      </c>
      <c r="D840" s="7" t="s">
        <v>40</v>
      </c>
      <c r="E840" s="7" t="s">
        <v>62</v>
      </c>
      <c r="F840" s="7" t="s">
        <v>59</v>
      </c>
      <c r="G840" s="7" t="s">
        <v>49</v>
      </c>
      <c r="H840" s="7" t="s">
        <v>50</v>
      </c>
      <c r="I840" s="7">
        <v>3</v>
      </c>
      <c r="J840" s="9">
        <v>190.22</v>
      </c>
      <c r="K840" s="10">
        <v>0.12759999999999999</v>
      </c>
      <c r="L840" s="9">
        <f t="shared" si="26"/>
        <v>497.84378400000003</v>
      </c>
      <c r="M840" s="9">
        <f>ROUND(L840*0.6139,2)</f>
        <v>305.63</v>
      </c>
      <c r="N840" s="9">
        <f t="shared" si="27"/>
        <v>192.21378400000003</v>
      </c>
    </row>
    <row r="841" spans="1:14" x14ac:dyDescent="0.35">
      <c r="A841" s="7" t="s">
        <v>924</v>
      </c>
      <c r="B841" s="8">
        <v>45938</v>
      </c>
      <c r="C841" s="7" t="s">
        <v>52</v>
      </c>
      <c r="D841" s="7" t="s">
        <v>66</v>
      </c>
      <c r="E841" s="7" t="s">
        <v>67</v>
      </c>
      <c r="F841" s="7" t="s">
        <v>48</v>
      </c>
      <c r="G841" s="7" t="s">
        <v>55</v>
      </c>
      <c r="H841" s="7" t="s">
        <v>56</v>
      </c>
      <c r="I841" s="7">
        <v>1</v>
      </c>
      <c r="J841" s="9">
        <v>92.1</v>
      </c>
      <c r="K841" s="10">
        <v>4.1300000000000003E-2</v>
      </c>
      <c r="L841" s="9">
        <f t="shared" si="26"/>
        <v>88.296269999999993</v>
      </c>
      <c r="M841" s="9">
        <f>ROUND(L841*0.583,2)</f>
        <v>51.48</v>
      </c>
      <c r="N841" s="9">
        <f t="shared" si="27"/>
        <v>36.816269999999996</v>
      </c>
    </row>
    <row r="842" spans="1:14" x14ac:dyDescent="0.35">
      <c r="A842" s="7" t="s">
        <v>925</v>
      </c>
      <c r="B842" s="8">
        <v>45939</v>
      </c>
      <c r="C842" s="7" t="s">
        <v>46</v>
      </c>
      <c r="D842" s="7" t="s">
        <v>66</v>
      </c>
      <c r="E842" s="7" t="s">
        <v>67</v>
      </c>
      <c r="F842" s="7" t="s">
        <v>42</v>
      </c>
      <c r="G842" s="7" t="s">
        <v>43</v>
      </c>
      <c r="H842" s="7" t="s">
        <v>95</v>
      </c>
      <c r="I842" s="7">
        <v>29</v>
      </c>
      <c r="J842" s="9">
        <v>84.3</v>
      </c>
      <c r="K842" s="10">
        <v>0.1928</v>
      </c>
      <c r="L842" s="9">
        <f t="shared" si="26"/>
        <v>1973.36184</v>
      </c>
      <c r="M842" s="9">
        <f>ROUND(L842*0.5515,2)</f>
        <v>1088.31</v>
      </c>
      <c r="N842" s="9">
        <f t="shared" si="27"/>
        <v>885.05184000000008</v>
      </c>
    </row>
    <row r="843" spans="1:14" x14ac:dyDescent="0.35">
      <c r="A843" s="7" t="s">
        <v>926</v>
      </c>
      <c r="B843" s="8">
        <v>45939</v>
      </c>
      <c r="C843" s="7" t="s">
        <v>76</v>
      </c>
      <c r="D843" s="7" t="s">
        <v>40</v>
      </c>
      <c r="E843" s="7" t="s">
        <v>62</v>
      </c>
      <c r="F843" s="7" t="s">
        <v>42</v>
      </c>
      <c r="G843" s="7" t="s">
        <v>55</v>
      </c>
      <c r="H843" s="7" t="s">
        <v>78</v>
      </c>
      <c r="I843" s="7">
        <v>17</v>
      </c>
      <c r="J843" s="9">
        <v>193.95</v>
      </c>
      <c r="K843" s="10">
        <v>7.4800000000000005E-2</v>
      </c>
      <c r="L843" s="9">
        <f t="shared" si="26"/>
        <v>3050.5231799999997</v>
      </c>
      <c r="M843" s="9">
        <f>ROUND(L843*0.6193,2)</f>
        <v>1889.19</v>
      </c>
      <c r="N843" s="9">
        <f t="shared" si="27"/>
        <v>1161.3331799999996</v>
      </c>
    </row>
    <row r="844" spans="1:14" x14ac:dyDescent="0.35">
      <c r="A844" s="7" t="s">
        <v>927</v>
      </c>
      <c r="B844" s="8">
        <v>45939</v>
      </c>
      <c r="C844" s="7" t="s">
        <v>52</v>
      </c>
      <c r="D844" s="7" t="s">
        <v>66</v>
      </c>
      <c r="E844" s="7" t="s">
        <v>67</v>
      </c>
      <c r="F844" s="7" t="s">
        <v>48</v>
      </c>
      <c r="G844" s="7" t="s">
        <v>55</v>
      </c>
      <c r="H844" s="7" t="s">
        <v>56</v>
      </c>
      <c r="I844" s="7">
        <v>3</v>
      </c>
      <c r="J844" s="9">
        <v>89.23</v>
      </c>
      <c r="K844" s="10">
        <v>6.2899999999999998E-2</v>
      </c>
      <c r="L844" s="9">
        <f t="shared" si="26"/>
        <v>250.85229900000002</v>
      </c>
      <c r="M844" s="9">
        <f>ROUND(L844*0.5836,2)</f>
        <v>146.4</v>
      </c>
      <c r="N844" s="9">
        <f t="shared" si="27"/>
        <v>104.45229900000001</v>
      </c>
    </row>
    <row r="845" spans="1:14" x14ac:dyDescent="0.35">
      <c r="A845" s="7" t="s">
        <v>928</v>
      </c>
      <c r="B845" s="8">
        <v>45939</v>
      </c>
      <c r="C845" s="7" t="s">
        <v>76</v>
      </c>
      <c r="D845" s="7" t="s">
        <v>69</v>
      </c>
      <c r="E845" s="7" t="s">
        <v>119</v>
      </c>
      <c r="F845" s="7" t="s">
        <v>48</v>
      </c>
      <c r="G845" s="7" t="s">
        <v>43</v>
      </c>
      <c r="H845" s="7" t="s">
        <v>151</v>
      </c>
      <c r="I845" s="7">
        <v>1</v>
      </c>
      <c r="J845" s="9">
        <v>192.5</v>
      </c>
      <c r="K845" s="10">
        <v>4.5199999999999997E-2</v>
      </c>
      <c r="L845" s="9">
        <f t="shared" si="26"/>
        <v>183.79900000000001</v>
      </c>
      <c r="M845" s="9">
        <f>ROUND(L845*0.2374,2)</f>
        <v>43.63</v>
      </c>
      <c r="N845" s="9">
        <f t="shared" si="27"/>
        <v>140.16900000000001</v>
      </c>
    </row>
    <row r="846" spans="1:14" x14ac:dyDescent="0.35">
      <c r="A846" s="7" t="s">
        <v>929</v>
      </c>
      <c r="B846" s="8">
        <v>45940</v>
      </c>
      <c r="C846" s="7" t="s">
        <v>52</v>
      </c>
      <c r="D846" s="7" t="s">
        <v>40</v>
      </c>
      <c r="E846" s="7" t="s">
        <v>139</v>
      </c>
      <c r="F846" s="7" t="s">
        <v>48</v>
      </c>
      <c r="G846" s="7" t="s">
        <v>55</v>
      </c>
      <c r="H846" s="7" t="s">
        <v>56</v>
      </c>
      <c r="I846" s="7">
        <v>2</v>
      </c>
      <c r="J846" s="9">
        <v>337.47</v>
      </c>
      <c r="K846" s="10">
        <v>6.2300000000000001E-2</v>
      </c>
      <c r="L846" s="9">
        <f t="shared" si="26"/>
        <v>632.89123800000004</v>
      </c>
      <c r="M846" s="9">
        <f>ROUND(L846*0.6107,2)</f>
        <v>386.51</v>
      </c>
      <c r="N846" s="9">
        <f t="shared" si="27"/>
        <v>246.38123800000005</v>
      </c>
    </row>
    <row r="847" spans="1:14" x14ac:dyDescent="0.35">
      <c r="A847" s="7" t="s">
        <v>930</v>
      </c>
      <c r="B847" s="8">
        <v>45941</v>
      </c>
      <c r="C847" s="7" t="s">
        <v>46</v>
      </c>
      <c r="D847" s="7" t="s">
        <v>40</v>
      </c>
      <c r="E847" s="7" t="s">
        <v>91</v>
      </c>
      <c r="F847" s="7" t="s">
        <v>59</v>
      </c>
      <c r="G847" s="7" t="s">
        <v>55</v>
      </c>
      <c r="H847" s="7" t="s">
        <v>74</v>
      </c>
      <c r="I847" s="7">
        <v>4</v>
      </c>
      <c r="J847" s="9">
        <v>124.38</v>
      </c>
      <c r="K847" s="10">
        <v>7.3999999999999996E-2</v>
      </c>
      <c r="L847" s="9">
        <f t="shared" si="26"/>
        <v>460.70352000000003</v>
      </c>
      <c r="M847" s="9">
        <f>ROUND(L847*0.6458,2)</f>
        <v>297.52</v>
      </c>
      <c r="N847" s="9">
        <f t="shared" si="27"/>
        <v>163.18352000000004</v>
      </c>
    </row>
    <row r="848" spans="1:14" x14ac:dyDescent="0.35">
      <c r="A848" s="7" t="s">
        <v>931</v>
      </c>
      <c r="B848" s="8">
        <v>45941</v>
      </c>
      <c r="C848" s="7" t="s">
        <v>39</v>
      </c>
      <c r="D848" s="7" t="s">
        <v>69</v>
      </c>
      <c r="E848" s="7" t="s">
        <v>70</v>
      </c>
      <c r="F848" s="7" t="s">
        <v>59</v>
      </c>
      <c r="G848" s="7" t="s">
        <v>43</v>
      </c>
      <c r="H848" s="7" t="s">
        <v>44</v>
      </c>
      <c r="I848" s="7">
        <v>7</v>
      </c>
      <c r="J848" s="9">
        <v>148.66999999999999</v>
      </c>
      <c r="K848" s="10">
        <v>0.13270000000000001</v>
      </c>
      <c r="L848" s="9">
        <f t="shared" si="26"/>
        <v>902.59043699999984</v>
      </c>
      <c r="M848" s="9">
        <f>ROUND(L848*0.2166,2)</f>
        <v>195.5</v>
      </c>
      <c r="N848" s="9">
        <f t="shared" si="27"/>
        <v>707.09043699999984</v>
      </c>
    </row>
    <row r="849" spans="1:14" x14ac:dyDescent="0.35">
      <c r="A849" s="7" t="s">
        <v>932</v>
      </c>
      <c r="B849" s="8">
        <v>45941</v>
      </c>
      <c r="C849" s="7" t="s">
        <v>52</v>
      </c>
      <c r="D849" s="7" t="s">
        <v>40</v>
      </c>
      <c r="E849" s="7" t="s">
        <v>41</v>
      </c>
      <c r="F849" s="7" t="s">
        <v>42</v>
      </c>
      <c r="G849" s="7" t="s">
        <v>43</v>
      </c>
      <c r="H849" s="7" t="s">
        <v>71</v>
      </c>
      <c r="I849" s="7">
        <v>22</v>
      </c>
      <c r="J849" s="9">
        <v>386.34</v>
      </c>
      <c r="K849" s="10">
        <v>0.19539999999999999</v>
      </c>
      <c r="L849" s="9">
        <f t="shared" si="26"/>
        <v>6838.6816079999999</v>
      </c>
      <c r="M849" s="9">
        <f>ROUND(L849*0.6571,2)</f>
        <v>4493.7</v>
      </c>
      <c r="N849" s="9">
        <f t="shared" si="27"/>
        <v>2344.9816080000001</v>
      </c>
    </row>
    <row r="850" spans="1:14" x14ac:dyDescent="0.35">
      <c r="A850" s="7" t="s">
        <v>933</v>
      </c>
      <c r="B850" s="8">
        <v>45942</v>
      </c>
      <c r="C850" s="7" t="s">
        <v>52</v>
      </c>
      <c r="D850" s="7" t="s">
        <v>53</v>
      </c>
      <c r="E850" s="7" t="s">
        <v>54</v>
      </c>
      <c r="F850" s="7" t="s">
        <v>42</v>
      </c>
      <c r="G850" s="7" t="s">
        <v>43</v>
      </c>
      <c r="H850" s="7" t="s">
        <v>71</v>
      </c>
      <c r="I850" s="7">
        <v>35</v>
      </c>
      <c r="J850" s="9">
        <v>1311.56</v>
      </c>
      <c r="K850" s="10">
        <v>0.13159999999999999</v>
      </c>
      <c r="L850" s="9">
        <f t="shared" si="26"/>
        <v>39863.554640000002</v>
      </c>
      <c r="M850" s="9">
        <f>ROUND(L850*0.6887,2)</f>
        <v>27454.03</v>
      </c>
      <c r="N850" s="9">
        <f t="shared" si="27"/>
        <v>12409.524640000003</v>
      </c>
    </row>
    <row r="851" spans="1:14" x14ac:dyDescent="0.35">
      <c r="A851" s="7" t="s">
        <v>934</v>
      </c>
      <c r="B851" s="8">
        <v>45942</v>
      </c>
      <c r="C851" s="7" t="s">
        <v>52</v>
      </c>
      <c r="D851" s="7" t="s">
        <v>69</v>
      </c>
      <c r="E851" s="7" t="s">
        <v>107</v>
      </c>
      <c r="F851" s="7" t="s">
        <v>48</v>
      </c>
      <c r="G851" s="7" t="s">
        <v>49</v>
      </c>
      <c r="H851" s="7" t="s">
        <v>71</v>
      </c>
      <c r="I851" s="7">
        <v>1</v>
      </c>
      <c r="J851" s="9">
        <v>55.57</v>
      </c>
      <c r="K851" s="10">
        <v>4.8899999999999999E-2</v>
      </c>
      <c r="L851" s="9">
        <f t="shared" si="26"/>
        <v>52.852627000000005</v>
      </c>
      <c r="M851" s="9">
        <f>ROUND(L851*0.2651,2)</f>
        <v>14.01</v>
      </c>
      <c r="N851" s="9">
        <f t="shared" si="27"/>
        <v>38.842627000000007</v>
      </c>
    </row>
    <row r="852" spans="1:14" x14ac:dyDescent="0.35">
      <c r="A852" s="7" t="s">
        <v>935</v>
      </c>
      <c r="B852" s="8">
        <v>45942</v>
      </c>
      <c r="C852" s="7" t="s">
        <v>52</v>
      </c>
      <c r="D852" s="7" t="s">
        <v>40</v>
      </c>
      <c r="E852" s="7" t="s">
        <v>41</v>
      </c>
      <c r="F852" s="7" t="s">
        <v>48</v>
      </c>
      <c r="G852" s="7" t="s">
        <v>55</v>
      </c>
      <c r="H852" s="7" t="s">
        <v>56</v>
      </c>
      <c r="I852" s="7">
        <v>2</v>
      </c>
      <c r="J852" s="9">
        <v>397.43</v>
      </c>
      <c r="K852" s="10">
        <v>2.01E-2</v>
      </c>
      <c r="L852" s="9">
        <f t="shared" si="26"/>
        <v>778.88331400000004</v>
      </c>
      <c r="M852" s="9">
        <f>ROUND(L852*0.6404,2)</f>
        <v>498.8</v>
      </c>
      <c r="N852" s="9">
        <f t="shared" si="27"/>
        <v>280.08331400000003</v>
      </c>
    </row>
    <row r="853" spans="1:14" x14ac:dyDescent="0.35">
      <c r="A853" s="7" t="s">
        <v>936</v>
      </c>
      <c r="B853" s="8">
        <v>45942</v>
      </c>
      <c r="C853" s="7" t="s">
        <v>46</v>
      </c>
      <c r="D853" s="7" t="s">
        <v>69</v>
      </c>
      <c r="E853" s="7" t="s">
        <v>132</v>
      </c>
      <c r="F853" s="7" t="s">
        <v>59</v>
      </c>
      <c r="G853" s="7" t="s">
        <v>55</v>
      </c>
      <c r="H853" s="7" t="s">
        <v>74</v>
      </c>
      <c r="I853" s="7">
        <v>5</v>
      </c>
      <c r="J853" s="9">
        <v>80.88</v>
      </c>
      <c r="K853" s="10">
        <v>6.1400000000000003E-2</v>
      </c>
      <c r="L853" s="9">
        <f t="shared" si="26"/>
        <v>379.56984</v>
      </c>
      <c r="M853" s="9">
        <f>ROUND(L853*0.2287,2)</f>
        <v>86.81</v>
      </c>
      <c r="N853" s="9">
        <f t="shared" si="27"/>
        <v>292.75984</v>
      </c>
    </row>
    <row r="854" spans="1:14" x14ac:dyDescent="0.35">
      <c r="A854" s="7" t="s">
        <v>937</v>
      </c>
      <c r="B854" s="8">
        <v>45942</v>
      </c>
      <c r="C854" s="7" t="s">
        <v>52</v>
      </c>
      <c r="D854" s="7" t="s">
        <v>66</v>
      </c>
      <c r="E854" s="7" t="s">
        <v>137</v>
      </c>
      <c r="F854" s="7" t="s">
        <v>59</v>
      </c>
      <c r="G854" s="7" t="s">
        <v>43</v>
      </c>
      <c r="H854" s="7" t="s">
        <v>83</v>
      </c>
      <c r="I854" s="7">
        <v>5</v>
      </c>
      <c r="J854" s="9">
        <v>158.80000000000001</v>
      </c>
      <c r="K854" s="10">
        <v>0.15260000000000001</v>
      </c>
      <c r="L854" s="9">
        <f t="shared" si="26"/>
        <v>672.8356</v>
      </c>
      <c r="M854" s="9">
        <f>ROUND(L854*0.568,2)</f>
        <v>382.17</v>
      </c>
      <c r="N854" s="9">
        <f t="shared" si="27"/>
        <v>290.66559999999998</v>
      </c>
    </row>
    <row r="855" spans="1:14" x14ac:dyDescent="0.35">
      <c r="A855" s="7" t="s">
        <v>938</v>
      </c>
      <c r="B855" s="8">
        <v>45943</v>
      </c>
      <c r="C855" s="7" t="s">
        <v>46</v>
      </c>
      <c r="D855" s="7" t="s">
        <v>53</v>
      </c>
      <c r="E855" s="7" t="s">
        <v>58</v>
      </c>
      <c r="F855" s="7" t="s">
        <v>42</v>
      </c>
      <c r="G855" s="7" t="s">
        <v>43</v>
      </c>
      <c r="H855" s="7" t="s">
        <v>50</v>
      </c>
      <c r="I855" s="7">
        <v>13</v>
      </c>
      <c r="J855" s="9">
        <v>658.5</v>
      </c>
      <c r="K855" s="10">
        <v>0.21260000000000001</v>
      </c>
      <c r="L855" s="9">
        <f t="shared" si="26"/>
        <v>6740.5376999999999</v>
      </c>
      <c r="M855" s="9">
        <f>ROUND(L855*0.6809,2)</f>
        <v>4589.63</v>
      </c>
      <c r="N855" s="9">
        <f t="shared" si="27"/>
        <v>2150.9076999999997</v>
      </c>
    </row>
    <row r="856" spans="1:14" x14ac:dyDescent="0.35">
      <c r="A856" s="7" t="s">
        <v>939</v>
      </c>
      <c r="B856" s="8">
        <v>45943</v>
      </c>
      <c r="C856" s="7" t="s">
        <v>52</v>
      </c>
      <c r="D856" s="7" t="s">
        <v>53</v>
      </c>
      <c r="E856" s="7" t="s">
        <v>54</v>
      </c>
      <c r="F856" s="7" t="s">
        <v>59</v>
      </c>
      <c r="G856" s="7" t="s">
        <v>49</v>
      </c>
      <c r="H856" s="7" t="s">
        <v>83</v>
      </c>
      <c r="I856" s="7">
        <v>9</v>
      </c>
      <c r="J856" s="9">
        <v>1230.8800000000001</v>
      </c>
      <c r="K856" s="10">
        <v>0.1245</v>
      </c>
      <c r="L856" s="9">
        <f t="shared" si="26"/>
        <v>9698.7189600000002</v>
      </c>
      <c r="M856" s="9">
        <f>ROUND(L856*0.7281,2)</f>
        <v>7061.64</v>
      </c>
      <c r="N856" s="9">
        <f t="shared" si="27"/>
        <v>2637.0789599999998</v>
      </c>
    </row>
    <row r="857" spans="1:14" x14ac:dyDescent="0.35">
      <c r="A857" s="7" t="s">
        <v>940</v>
      </c>
      <c r="B857" s="8">
        <v>45943</v>
      </c>
      <c r="C857" s="7" t="s">
        <v>46</v>
      </c>
      <c r="D857" s="7" t="s">
        <v>69</v>
      </c>
      <c r="E857" s="7" t="s">
        <v>119</v>
      </c>
      <c r="F857" s="7" t="s">
        <v>48</v>
      </c>
      <c r="G857" s="7" t="s">
        <v>49</v>
      </c>
      <c r="H857" s="7" t="s">
        <v>95</v>
      </c>
      <c r="I857" s="7">
        <v>2</v>
      </c>
      <c r="J857" s="9">
        <v>194.21</v>
      </c>
      <c r="K857" s="10">
        <v>8.3900000000000002E-2</v>
      </c>
      <c r="L857" s="9">
        <f t="shared" si="26"/>
        <v>355.83156200000002</v>
      </c>
      <c r="M857" s="9">
        <f>ROUND(L857*0.2273,2)</f>
        <v>80.88</v>
      </c>
      <c r="N857" s="9">
        <f t="shared" si="27"/>
        <v>274.95156200000002</v>
      </c>
    </row>
    <row r="858" spans="1:14" x14ac:dyDescent="0.35">
      <c r="A858" s="7" t="s">
        <v>941</v>
      </c>
      <c r="B858" s="8">
        <v>45944</v>
      </c>
      <c r="C858" s="7" t="s">
        <v>46</v>
      </c>
      <c r="D858" s="7" t="s">
        <v>69</v>
      </c>
      <c r="E858" s="7" t="s">
        <v>107</v>
      </c>
      <c r="F858" s="7" t="s">
        <v>59</v>
      </c>
      <c r="G858" s="7" t="s">
        <v>49</v>
      </c>
      <c r="H858" s="7" t="s">
        <v>50</v>
      </c>
      <c r="I858" s="7">
        <v>10</v>
      </c>
      <c r="J858" s="9">
        <v>56.35</v>
      </c>
      <c r="K858" s="10">
        <v>7.2999999999999995E-2</v>
      </c>
      <c r="L858" s="9">
        <f t="shared" si="26"/>
        <v>522.36450000000002</v>
      </c>
      <c r="M858" s="9">
        <f>ROUND(L858*0.2321,2)</f>
        <v>121.24</v>
      </c>
      <c r="N858" s="9">
        <f t="shared" si="27"/>
        <v>401.12450000000001</v>
      </c>
    </row>
    <row r="859" spans="1:14" x14ac:dyDescent="0.35">
      <c r="A859" s="7" t="s">
        <v>942</v>
      </c>
      <c r="B859" s="8">
        <v>45944</v>
      </c>
      <c r="C859" s="7" t="s">
        <v>39</v>
      </c>
      <c r="D859" s="7" t="s">
        <v>69</v>
      </c>
      <c r="E859" s="7" t="s">
        <v>107</v>
      </c>
      <c r="F859" s="7" t="s">
        <v>42</v>
      </c>
      <c r="G859" s="7" t="s">
        <v>49</v>
      </c>
      <c r="H859" s="7" t="s">
        <v>60</v>
      </c>
      <c r="I859" s="7">
        <v>10</v>
      </c>
      <c r="J859" s="9">
        <v>56.04</v>
      </c>
      <c r="K859" s="10">
        <v>0.1234</v>
      </c>
      <c r="L859" s="9">
        <f t="shared" si="26"/>
        <v>491.24664000000001</v>
      </c>
      <c r="M859" s="9">
        <f>ROUND(L859*0.2264,2)</f>
        <v>111.22</v>
      </c>
      <c r="N859" s="9">
        <f t="shared" si="27"/>
        <v>380.02664000000004</v>
      </c>
    </row>
    <row r="860" spans="1:14" x14ac:dyDescent="0.35">
      <c r="A860" s="7" t="s">
        <v>943</v>
      </c>
      <c r="B860" s="8">
        <v>45944</v>
      </c>
      <c r="C860" s="7" t="s">
        <v>52</v>
      </c>
      <c r="D860" s="7" t="s">
        <v>40</v>
      </c>
      <c r="E860" s="7" t="s">
        <v>47</v>
      </c>
      <c r="F860" s="7" t="s">
        <v>48</v>
      </c>
      <c r="G860" s="7" t="s">
        <v>49</v>
      </c>
      <c r="H860" s="7" t="s">
        <v>64</v>
      </c>
      <c r="I860" s="7">
        <v>1</v>
      </c>
      <c r="J860" s="9">
        <v>237.85</v>
      </c>
      <c r="K860" s="10">
        <v>8.1100000000000005E-2</v>
      </c>
      <c r="L860" s="9">
        <f t="shared" si="26"/>
        <v>218.56036500000002</v>
      </c>
      <c r="M860" s="9">
        <f>ROUND(L860*0.6499,2)</f>
        <v>142.04</v>
      </c>
      <c r="N860" s="9">
        <f t="shared" si="27"/>
        <v>76.520365000000027</v>
      </c>
    </row>
    <row r="861" spans="1:14" x14ac:dyDescent="0.35">
      <c r="A861" s="7" t="s">
        <v>944</v>
      </c>
      <c r="B861" s="8">
        <v>45944</v>
      </c>
      <c r="C861" s="7" t="s">
        <v>46</v>
      </c>
      <c r="D861" s="7" t="s">
        <v>40</v>
      </c>
      <c r="E861" s="7" t="s">
        <v>139</v>
      </c>
      <c r="F861" s="7" t="s">
        <v>48</v>
      </c>
      <c r="G861" s="7" t="s">
        <v>55</v>
      </c>
      <c r="H861" s="7" t="s">
        <v>74</v>
      </c>
      <c r="I861" s="7">
        <v>3</v>
      </c>
      <c r="J861" s="9">
        <v>335.82</v>
      </c>
      <c r="K861" s="10">
        <v>4.3400000000000001E-2</v>
      </c>
      <c r="L861" s="9">
        <f t="shared" si="26"/>
        <v>963.73623600000008</v>
      </c>
      <c r="M861" s="9">
        <f>ROUND(L861*0.6235,2)</f>
        <v>600.89</v>
      </c>
      <c r="N861" s="9">
        <f t="shared" si="27"/>
        <v>362.84623600000009</v>
      </c>
    </row>
    <row r="862" spans="1:14" x14ac:dyDescent="0.35">
      <c r="A862" s="7" t="s">
        <v>945</v>
      </c>
      <c r="B862" s="8">
        <v>45945</v>
      </c>
      <c r="C862" s="7" t="s">
        <v>39</v>
      </c>
      <c r="D862" s="7" t="s">
        <v>69</v>
      </c>
      <c r="E862" s="7" t="s">
        <v>107</v>
      </c>
      <c r="F862" s="7" t="s">
        <v>48</v>
      </c>
      <c r="G862" s="7" t="s">
        <v>55</v>
      </c>
      <c r="H862" s="7" t="s">
        <v>108</v>
      </c>
      <c r="I862" s="7">
        <v>3</v>
      </c>
      <c r="J862" s="9">
        <v>57.66</v>
      </c>
      <c r="K862" s="10">
        <v>3.85E-2</v>
      </c>
      <c r="L862" s="9">
        <f t="shared" si="26"/>
        <v>166.32026999999999</v>
      </c>
      <c r="M862" s="9">
        <f>ROUND(L862*0.2602,2)</f>
        <v>43.28</v>
      </c>
      <c r="N862" s="9">
        <f t="shared" si="27"/>
        <v>123.04026999999999</v>
      </c>
    </row>
    <row r="863" spans="1:14" x14ac:dyDescent="0.35">
      <c r="A863" s="7" t="s">
        <v>946</v>
      </c>
      <c r="B863" s="8">
        <v>45945</v>
      </c>
      <c r="C863" s="7" t="s">
        <v>46</v>
      </c>
      <c r="D863" s="7" t="s">
        <v>53</v>
      </c>
      <c r="E863" s="7" t="s">
        <v>58</v>
      </c>
      <c r="F863" s="7" t="s">
        <v>48</v>
      </c>
      <c r="G863" s="7" t="s">
        <v>55</v>
      </c>
      <c r="H863" s="7" t="s">
        <v>74</v>
      </c>
      <c r="I863" s="7">
        <v>2</v>
      </c>
      <c r="J863" s="9">
        <v>672.42</v>
      </c>
      <c r="K863" s="10">
        <v>2.5899999999999999E-2</v>
      </c>
      <c r="L863" s="9">
        <f t="shared" si="26"/>
        <v>1310.0086439999998</v>
      </c>
      <c r="M863" s="9">
        <f>ROUND(L863*0.6959,2)</f>
        <v>911.64</v>
      </c>
      <c r="N863" s="9">
        <f t="shared" si="27"/>
        <v>398.36864399999979</v>
      </c>
    </row>
    <row r="864" spans="1:14" x14ac:dyDescent="0.35">
      <c r="A864" s="7" t="s">
        <v>947</v>
      </c>
      <c r="B864" s="8">
        <v>45945</v>
      </c>
      <c r="C864" s="7" t="s">
        <v>76</v>
      </c>
      <c r="D864" s="7" t="s">
        <v>53</v>
      </c>
      <c r="E864" s="7" t="s">
        <v>58</v>
      </c>
      <c r="F864" s="7" t="s">
        <v>48</v>
      </c>
      <c r="G864" s="7" t="s">
        <v>55</v>
      </c>
      <c r="H864" s="7" t="s">
        <v>78</v>
      </c>
      <c r="I864" s="7">
        <v>2</v>
      </c>
      <c r="J864" s="9">
        <v>690.26</v>
      </c>
      <c r="K864" s="10">
        <v>3.0700000000000002E-2</v>
      </c>
      <c r="L864" s="9">
        <f t="shared" si="26"/>
        <v>1338.1380360000001</v>
      </c>
      <c r="M864" s="9">
        <f>ROUND(L864*0.6917,2)</f>
        <v>925.59</v>
      </c>
      <c r="N864" s="9">
        <f t="shared" si="27"/>
        <v>412.54803600000002</v>
      </c>
    </row>
    <row r="865" spans="1:14" x14ac:dyDescent="0.35">
      <c r="A865" s="7" t="s">
        <v>948</v>
      </c>
      <c r="B865" s="8">
        <v>45945</v>
      </c>
      <c r="C865" s="7" t="s">
        <v>46</v>
      </c>
      <c r="D865" s="7" t="s">
        <v>53</v>
      </c>
      <c r="E865" s="7" t="s">
        <v>58</v>
      </c>
      <c r="F865" s="7" t="s">
        <v>48</v>
      </c>
      <c r="G865" s="7" t="s">
        <v>55</v>
      </c>
      <c r="H865" s="7" t="s">
        <v>74</v>
      </c>
      <c r="I865" s="7">
        <v>3</v>
      </c>
      <c r="J865" s="9">
        <v>714.59</v>
      </c>
      <c r="K865" s="10">
        <v>2.2599999999999999E-2</v>
      </c>
      <c r="L865" s="9">
        <f t="shared" si="26"/>
        <v>2095.3207980000002</v>
      </c>
      <c r="M865" s="9">
        <f>ROUND(L865*0.7151,2)</f>
        <v>1498.36</v>
      </c>
      <c r="N865" s="9">
        <f t="shared" si="27"/>
        <v>596.9607980000003</v>
      </c>
    </row>
    <row r="866" spans="1:14" x14ac:dyDescent="0.35">
      <c r="A866" s="7" t="s">
        <v>949</v>
      </c>
      <c r="B866" s="8">
        <v>45945</v>
      </c>
      <c r="C866" s="7" t="s">
        <v>52</v>
      </c>
      <c r="D866" s="7" t="s">
        <v>66</v>
      </c>
      <c r="E866" s="7" t="s">
        <v>137</v>
      </c>
      <c r="F866" s="7" t="s">
        <v>59</v>
      </c>
      <c r="G866" s="7" t="s">
        <v>55</v>
      </c>
      <c r="H866" s="7" t="s">
        <v>56</v>
      </c>
      <c r="I866" s="7">
        <v>4</v>
      </c>
      <c r="J866" s="9">
        <v>153.43</v>
      </c>
      <c r="K866" s="10">
        <v>7.8299999999999995E-2</v>
      </c>
      <c r="L866" s="9">
        <f t="shared" si="26"/>
        <v>565.66572399999995</v>
      </c>
      <c r="M866" s="9">
        <f>ROUND(L866*0.5786,2)</f>
        <v>327.29000000000002</v>
      </c>
      <c r="N866" s="9">
        <f t="shared" si="27"/>
        <v>238.37572399999993</v>
      </c>
    </row>
    <row r="867" spans="1:14" x14ac:dyDescent="0.35">
      <c r="A867" s="7" t="s">
        <v>950</v>
      </c>
      <c r="B867" s="8">
        <v>45945</v>
      </c>
      <c r="C867" s="7" t="s">
        <v>76</v>
      </c>
      <c r="D867" s="7" t="s">
        <v>40</v>
      </c>
      <c r="E867" s="7" t="s">
        <v>47</v>
      </c>
      <c r="F867" s="7" t="s">
        <v>48</v>
      </c>
      <c r="G867" s="7" t="s">
        <v>55</v>
      </c>
      <c r="H867" s="7" t="s">
        <v>78</v>
      </c>
      <c r="I867" s="7">
        <v>1</v>
      </c>
      <c r="J867" s="9">
        <v>256.05</v>
      </c>
      <c r="K867" s="10">
        <v>3.6400000000000002E-2</v>
      </c>
      <c r="L867" s="9">
        <f t="shared" si="26"/>
        <v>246.72978000000001</v>
      </c>
      <c r="M867" s="9">
        <f>ROUND(L867*0.6607,2)</f>
        <v>163.01</v>
      </c>
      <c r="N867" s="9">
        <f t="shared" si="27"/>
        <v>83.719780000000014</v>
      </c>
    </row>
    <row r="868" spans="1:14" x14ac:dyDescent="0.35">
      <c r="A868" s="7" t="s">
        <v>951</v>
      </c>
      <c r="B868" s="8">
        <v>45945</v>
      </c>
      <c r="C868" s="7" t="s">
        <v>52</v>
      </c>
      <c r="D868" s="7" t="s">
        <v>66</v>
      </c>
      <c r="E868" s="7" t="s">
        <v>73</v>
      </c>
      <c r="F868" s="7" t="s">
        <v>48</v>
      </c>
      <c r="G868" s="7" t="s">
        <v>49</v>
      </c>
      <c r="H868" s="7" t="s">
        <v>71</v>
      </c>
      <c r="I868" s="7">
        <v>2</v>
      </c>
      <c r="J868" s="9">
        <v>36.85</v>
      </c>
      <c r="K868" s="10">
        <v>5.9499999999999997E-2</v>
      </c>
      <c r="L868" s="9">
        <f t="shared" si="26"/>
        <v>69.314850000000007</v>
      </c>
      <c r="M868" s="9">
        <f>ROUND(L868*0.5918,2)</f>
        <v>41.02</v>
      </c>
      <c r="N868" s="9">
        <f t="shared" si="27"/>
        <v>28.294850000000004</v>
      </c>
    </row>
    <row r="869" spans="1:14" x14ac:dyDescent="0.35">
      <c r="A869" s="7" t="s">
        <v>952</v>
      </c>
      <c r="B869" s="8">
        <v>45946</v>
      </c>
      <c r="C869" s="7" t="s">
        <v>46</v>
      </c>
      <c r="D869" s="7" t="s">
        <v>66</v>
      </c>
      <c r="E869" s="7" t="s">
        <v>98</v>
      </c>
      <c r="F869" s="7" t="s">
        <v>48</v>
      </c>
      <c r="G869" s="7" t="s">
        <v>55</v>
      </c>
      <c r="H869" s="7" t="s">
        <v>74</v>
      </c>
      <c r="I869" s="7">
        <v>2</v>
      </c>
      <c r="J869" s="9">
        <v>28.06</v>
      </c>
      <c r="K869" s="10">
        <v>7.5800000000000006E-2</v>
      </c>
      <c r="L869" s="9">
        <f t="shared" si="26"/>
        <v>51.866104</v>
      </c>
      <c r="M869" s="9">
        <f>ROUND(L869*0.5832,2)</f>
        <v>30.25</v>
      </c>
      <c r="N869" s="9">
        <f t="shared" si="27"/>
        <v>21.616104</v>
      </c>
    </row>
    <row r="870" spans="1:14" x14ac:dyDescent="0.35">
      <c r="A870" s="7" t="s">
        <v>953</v>
      </c>
      <c r="B870" s="8">
        <v>45946</v>
      </c>
      <c r="C870" s="7" t="s">
        <v>39</v>
      </c>
      <c r="D870" s="7" t="s">
        <v>53</v>
      </c>
      <c r="E870" s="7" t="s">
        <v>81</v>
      </c>
      <c r="F870" s="7" t="s">
        <v>48</v>
      </c>
      <c r="G870" s="7" t="s">
        <v>55</v>
      </c>
      <c r="H870" s="7" t="s">
        <v>108</v>
      </c>
      <c r="I870" s="7">
        <v>3</v>
      </c>
      <c r="J870" s="9">
        <v>1124.8599999999999</v>
      </c>
      <c r="K870" s="10">
        <v>1.5299999999999999E-2</v>
      </c>
      <c r="L870" s="9">
        <f t="shared" si="26"/>
        <v>3322.948926</v>
      </c>
      <c r="M870" s="9">
        <f>ROUND(L870*0.7265,2)</f>
        <v>2414.12</v>
      </c>
      <c r="N870" s="9">
        <f t="shared" si="27"/>
        <v>908.82892600000014</v>
      </c>
    </row>
    <row r="871" spans="1:14" x14ac:dyDescent="0.35">
      <c r="A871" s="7" t="s">
        <v>954</v>
      </c>
      <c r="B871" s="8">
        <v>45946</v>
      </c>
      <c r="C871" s="7" t="s">
        <v>39</v>
      </c>
      <c r="D871" s="7" t="s">
        <v>53</v>
      </c>
      <c r="E871" s="7" t="s">
        <v>58</v>
      </c>
      <c r="F871" s="7" t="s">
        <v>42</v>
      </c>
      <c r="G871" s="7" t="s">
        <v>43</v>
      </c>
      <c r="H871" s="7" t="s">
        <v>60</v>
      </c>
      <c r="I871" s="7">
        <v>37</v>
      </c>
      <c r="J871" s="9">
        <v>699.36</v>
      </c>
      <c r="K871" s="10">
        <v>0.20810000000000001</v>
      </c>
      <c r="L871" s="9">
        <f t="shared" si="26"/>
        <v>20491.457807999999</v>
      </c>
      <c r="M871" s="9">
        <f>ROUND(L871*0.6889,2)</f>
        <v>14116.57</v>
      </c>
      <c r="N871" s="9">
        <f t="shared" si="27"/>
        <v>6374.8878079999995</v>
      </c>
    </row>
    <row r="872" spans="1:14" x14ac:dyDescent="0.35">
      <c r="A872" s="7" t="s">
        <v>955</v>
      </c>
      <c r="B872" s="8">
        <v>45946</v>
      </c>
      <c r="C872" s="7" t="s">
        <v>39</v>
      </c>
      <c r="D872" s="7" t="s">
        <v>66</v>
      </c>
      <c r="E872" s="7" t="s">
        <v>98</v>
      </c>
      <c r="F872" s="7" t="s">
        <v>48</v>
      </c>
      <c r="G872" s="7" t="s">
        <v>55</v>
      </c>
      <c r="H872" s="7" t="s">
        <v>108</v>
      </c>
      <c r="I872" s="7">
        <v>2</v>
      </c>
      <c r="J872" s="9">
        <v>29.29</v>
      </c>
      <c r="K872" s="10">
        <v>3.3500000000000002E-2</v>
      </c>
      <c r="L872" s="9">
        <f t="shared" si="26"/>
        <v>56.617570000000001</v>
      </c>
      <c r="M872" s="9">
        <f>ROUND(L872*0.5941,2)</f>
        <v>33.64</v>
      </c>
      <c r="N872" s="9">
        <f t="shared" si="27"/>
        <v>22.97757</v>
      </c>
    </row>
    <row r="873" spans="1:14" x14ac:dyDescent="0.35">
      <c r="A873" s="7" t="s">
        <v>956</v>
      </c>
      <c r="B873" s="8">
        <v>45947</v>
      </c>
      <c r="C873" s="7" t="s">
        <v>52</v>
      </c>
      <c r="D873" s="7" t="s">
        <v>53</v>
      </c>
      <c r="E873" s="7" t="s">
        <v>87</v>
      </c>
      <c r="F873" s="7" t="s">
        <v>48</v>
      </c>
      <c r="G873" s="7" t="s">
        <v>55</v>
      </c>
      <c r="H873" s="7" t="s">
        <v>56</v>
      </c>
      <c r="I873" s="7">
        <v>2</v>
      </c>
      <c r="J873" s="9">
        <v>897.99</v>
      </c>
      <c r="K873" s="10">
        <v>4.0300000000000002E-2</v>
      </c>
      <c r="L873" s="9">
        <f t="shared" si="26"/>
        <v>1723.6020060000001</v>
      </c>
      <c r="M873" s="9">
        <f>ROUND(L873*0.6885,2)</f>
        <v>1186.7</v>
      </c>
      <c r="N873" s="9">
        <f t="shared" si="27"/>
        <v>536.90200600000003</v>
      </c>
    </row>
    <row r="874" spans="1:14" x14ac:dyDescent="0.35">
      <c r="A874" s="7" t="s">
        <v>957</v>
      </c>
      <c r="B874" s="8">
        <v>45947</v>
      </c>
      <c r="C874" s="7" t="s">
        <v>46</v>
      </c>
      <c r="D874" s="7" t="s">
        <v>53</v>
      </c>
      <c r="E874" s="7" t="s">
        <v>87</v>
      </c>
      <c r="F874" s="7" t="s">
        <v>59</v>
      </c>
      <c r="G874" s="7" t="s">
        <v>43</v>
      </c>
      <c r="H874" s="7" t="s">
        <v>50</v>
      </c>
      <c r="I874" s="7">
        <v>3</v>
      </c>
      <c r="J874" s="9">
        <v>873.5</v>
      </c>
      <c r="K874" s="10">
        <v>0.12280000000000001</v>
      </c>
      <c r="L874" s="9">
        <f t="shared" si="26"/>
        <v>2298.7026000000001</v>
      </c>
      <c r="M874" s="9">
        <f>ROUND(L874*0.7354,2)</f>
        <v>1690.47</v>
      </c>
      <c r="N874" s="9">
        <f t="shared" si="27"/>
        <v>608.23260000000005</v>
      </c>
    </row>
    <row r="875" spans="1:14" x14ac:dyDescent="0.35">
      <c r="A875" s="7" t="s">
        <v>958</v>
      </c>
      <c r="B875" s="8">
        <v>45948</v>
      </c>
      <c r="C875" s="7" t="s">
        <v>46</v>
      </c>
      <c r="D875" s="7" t="s">
        <v>40</v>
      </c>
      <c r="E875" s="7" t="s">
        <v>139</v>
      </c>
      <c r="F875" s="7" t="s">
        <v>59</v>
      </c>
      <c r="G875" s="7" t="s">
        <v>55</v>
      </c>
      <c r="H875" s="7" t="s">
        <v>74</v>
      </c>
      <c r="I875" s="7">
        <v>7</v>
      </c>
      <c r="J875" s="9">
        <v>330.73</v>
      </c>
      <c r="K875" s="10">
        <v>6.7000000000000004E-2</v>
      </c>
      <c r="L875" s="9">
        <f t="shared" si="26"/>
        <v>2159.9976300000003</v>
      </c>
      <c r="M875" s="9">
        <f>ROUND(L875*0.6569,2)</f>
        <v>1418.9</v>
      </c>
      <c r="N875" s="9">
        <f t="shared" si="27"/>
        <v>741.09763000000021</v>
      </c>
    </row>
    <row r="876" spans="1:14" x14ac:dyDescent="0.35">
      <c r="A876" s="7" t="s">
        <v>959</v>
      </c>
      <c r="B876" s="8">
        <v>45948</v>
      </c>
      <c r="C876" s="7" t="s">
        <v>52</v>
      </c>
      <c r="D876" s="7" t="s">
        <v>40</v>
      </c>
      <c r="E876" s="7" t="s">
        <v>91</v>
      </c>
      <c r="F876" s="7" t="s">
        <v>59</v>
      </c>
      <c r="G876" s="7" t="s">
        <v>55</v>
      </c>
      <c r="H876" s="7" t="s">
        <v>56</v>
      </c>
      <c r="I876" s="7">
        <v>7</v>
      </c>
      <c r="J876" s="9">
        <v>126.05</v>
      </c>
      <c r="K876" s="10">
        <v>6.25E-2</v>
      </c>
      <c r="L876" s="9">
        <f t="shared" si="26"/>
        <v>827.203125</v>
      </c>
      <c r="M876" s="9">
        <f>ROUND(L876*0.6287,2)</f>
        <v>520.05999999999995</v>
      </c>
      <c r="N876" s="9">
        <f t="shared" si="27"/>
        <v>307.14312500000005</v>
      </c>
    </row>
    <row r="877" spans="1:14" x14ac:dyDescent="0.35">
      <c r="A877" s="7" t="s">
        <v>960</v>
      </c>
      <c r="B877" s="8">
        <v>45948</v>
      </c>
      <c r="C877" s="7" t="s">
        <v>76</v>
      </c>
      <c r="D877" s="7" t="s">
        <v>69</v>
      </c>
      <c r="E877" s="7" t="s">
        <v>132</v>
      </c>
      <c r="F877" s="7" t="s">
        <v>48</v>
      </c>
      <c r="G877" s="7" t="s">
        <v>49</v>
      </c>
      <c r="H877" s="7" t="s">
        <v>151</v>
      </c>
      <c r="I877" s="7">
        <v>3</v>
      </c>
      <c r="J877" s="9">
        <v>76.63</v>
      </c>
      <c r="K877" s="10">
        <v>5.3499999999999999E-2</v>
      </c>
      <c r="L877" s="9">
        <f t="shared" si="26"/>
        <v>217.59088499999999</v>
      </c>
      <c r="M877" s="9">
        <f>ROUND(L877*0.2185,2)</f>
        <v>47.54</v>
      </c>
      <c r="N877" s="9">
        <f t="shared" si="27"/>
        <v>170.05088499999999</v>
      </c>
    </row>
    <row r="878" spans="1:14" x14ac:dyDescent="0.35">
      <c r="A878" s="7" t="s">
        <v>961</v>
      </c>
      <c r="B878" s="8">
        <v>45948</v>
      </c>
      <c r="C878" s="7" t="s">
        <v>46</v>
      </c>
      <c r="D878" s="7" t="s">
        <v>40</v>
      </c>
      <c r="E878" s="7" t="s">
        <v>41</v>
      </c>
      <c r="F878" s="7" t="s">
        <v>59</v>
      </c>
      <c r="G878" s="7" t="s">
        <v>49</v>
      </c>
      <c r="H878" s="7" t="s">
        <v>95</v>
      </c>
      <c r="I878" s="7">
        <v>7</v>
      </c>
      <c r="J878" s="9">
        <v>397.61</v>
      </c>
      <c r="K878" s="10">
        <v>0.13109999999999999</v>
      </c>
      <c r="L878" s="9">
        <f t="shared" si="26"/>
        <v>2418.3833030000001</v>
      </c>
      <c r="M878" s="9">
        <f>ROUND(L878*0.6111,2)</f>
        <v>1477.87</v>
      </c>
      <c r="N878" s="9">
        <f t="shared" si="27"/>
        <v>940.51330300000018</v>
      </c>
    </row>
    <row r="879" spans="1:14" x14ac:dyDescent="0.35">
      <c r="A879" s="7" t="s">
        <v>962</v>
      </c>
      <c r="B879" s="8">
        <v>45948</v>
      </c>
      <c r="C879" s="7" t="s">
        <v>46</v>
      </c>
      <c r="D879" s="7" t="s">
        <v>69</v>
      </c>
      <c r="E879" s="7" t="s">
        <v>107</v>
      </c>
      <c r="F879" s="7" t="s">
        <v>59</v>
      </c>
      <c r="G879" s="7" t="s">
        <v>49</v>
      </c>
      <c r="H879" s="7" t="s">
        <v>95</v>
      </c>
      <c r="I879" s="7">
        <v>9</v>
      </c>
      <c r="J879" s="9">
        <v>58.49</v>
      </c>
      <c r="K879" s="10">
        <v>0.105</v>
      </c>
      <c r="L879" s="9">
        <f t="shared" si="26"/>
        <v>471.13694999999996</v>
      </c>
      <c r="M879" s="9">
        <f>ROUND(L879*0.2151,2)</f>
        <v>101.34</v>
      </c>
      <c r="N879" s="9">
        <f t="shared" si="27"/>
        <v>369.79694999999992</v>
      </c>
    </row>
    <row r="880" spans="1:14" x14ac:dyDescent="0.35">
      <c r="A880" s="7" t="s">
        <v>963</v>
      </c>
      <c r="B880" s="8">
        <v>45948</v>
      </c>
      <c r="C880" s="7" t="s">
        <v>76</v>
      </c>
      <c r="D880" s="7" t="s">
        <v>40</v>
      </c>
      <c r="E880" s="7" t="s">
        <v>41</v>
      </c>
      <c r="F880" s="7" t="s">
        <v>42</v>
      </c>
      <c r="G880" s="7" t="s">
        <v>43</v>
      </c>
      <c r="H880" s="7" t="s">
        <v>151</v>
      </c>
      <c r="I880" s="7">
        <v>36</v>
      </c>
      <c r="J880" s="9">
        <v>376.69</v>
      </c>
      <c r="K880" s="10">
        <v>0.19600000000000001</v>
      </c>
      <c r="L880" s="9">
        <f t="shared" si="26"/>
        <v>10902.915360000001</v>
      </c>
      <c r="M880" s="9">
        <f>ROUND(L880*0.6677,2)</f>
        <v>7279.88</v>
      </c>
      <c r="N880" s="9">
        <f t="shared" si="27"/>
        <v>3623.0353600000008</v>
      </c>
    </row>
    <row r="881" spans="1:14" x14ac:dyDescent="0.35">
      <c r="A881" s="7" t="s">
        <v>964</v>
      </c>
      <c r="B881" s="8">
        <v>45948</v>
      </c>
      <c r="C881" s="7" t="s">
        <v>52</v>
      </c>
      <c r="D881" s="7" t="s">
        <v>53</v>
      </c>
      <c r="E881" s="7" t="s">
        <v>54</v>
      </c>
      <c r="F881" s="7" t="s">
        <v>42</v>
      </c>
      <c r="G881" s="7" t="s">
        <v>43</v>
      </c>
      <c r="H881" s="7" t="s">
        <v>71</v>
      </c>
      <c r="I881" s="7">
        <v>12</v>
      </c>
      <c r="J881" s="9">
        <v>1276.96</v>
      </c>
      <c r="K881" s="10">
        <v>0.19070000000000001</v>
      </c>
      <c r="L881" s="9">
        <f t="shared" si="26"/>
        <v>12401.324736</v>
      </c>
      <c r="M881" s="9">
        <f>ROUND(L881*0.729,2)</f>
        <v>9040.57</v>
      </c>
      <c r="N881" s="9">
        <f t="shared" si="27"/>
        <v>3360.7547360000008</v>
      </c>
    </row>
    <row r="882" spans="1:14" x14ac:dyDescent="0.35">
      <c r="A882" s="7" t="s">
        <v>965</v>
      </c>
      <c r="B882" s="8">
        <v>45949</v>
      </c>
      <c r="C882" s="7" t="s">
        <v>46</v>
      </c>
      <c r="D882" s="7" t="s">
        <v>40</v>
      </c>
      <c r="E882" s="7" t="s">
        <v>47</v>
      </c>
      <c r="F882" s="7" t="s">
        <v>59</v>
      </c>
      <c r="G882" s="7" t="s">
        <v>55</v>
      </c>
      <c r="H882" s="7" t="s">
        <v>74</v>
      </c>
      <c r="I882" s="7">
        <v>6</v>
      </c>
      <c r="J882" s="9">
        <v>242.69</v>
      </c>
      <c r="K882" s="10">
        <v>3.6400000000000002E-2</v>
      </c>
      <c r="L882" s="9">
        <f t="shared" si="26"/>
        <v>1403.1365039999998</v>
      </c>
      <c r="M882" s="9">
        <f>ROUND(L882*0.6101,2)</f>
        <v>856.05</v>
      </c>
      <c r="N882" s="9">
        <f t="shared" si="27"/>
        <v>547.08650399999988</v>
      </c>
    </row>
    <row r="883" spans="1:14" x14ac:dyDescent="0.35">
      <c r="A883" s="7" t="s">
        <v>966</v>
      </c>
      <c r="B883" s="8">
        <v>45949</v>
      </c>
      <c r="C883" s="7" t="s">
        <v>39</v>
      </c>
      <c r="D883" s="7" t="s">
        <v>69</v>
      </c>
      <c r="E883" s="7" t="s">
        <v>132</v>
      </c>
      <c r="F883" s="7" t="s">
        <v>59</v>
      </c>
      <c r="G883" s="7" t="s">
        <v>55</v>
      </c>
      <c r="H883" s="7" t="s">
        <v>108</v>
      </c>
      <c r="I883" s="7">
        <v>5</v>
      </c>
      <c r="J883" s="9">
        <v>78.459999999999994</v>
      </c>
      <c r="K883" s="10">
        <v>7.4499999999999997E-2</v>
      </c>
      <c r="L883" s="9">
        <f t="shared" si="26"/>
        <v>363.07364999999993</v>
      </c>
      <c r="M883" s="9">
        <f>ROUND(L883*0.229,2)</f>
        <v>83.14</v>
      </c>
      <c r="N883" s="9">
        <f t="shared" si="27"/>
        <v>279.93364999999994</v>
      </c>
    </row>
    <row r="884" spans="1:14" x14ac:dyDescent="0.35">
      <c r="A884" s="7" t="s">
        <v>967</v>
      </c>
      <c r="B884" s="8">
        <v>45949</v>
      </c>
      <c r="C884" s="7" t="s">
        <v>52</v>
      </c>
      <c r="D884" s="7" t="s">
        <v>69</v>
      </c>
      <c r="E884" s="7" t="s">
        <v>119</v>
      </c>
      <c r="F884" s="7" t="s">
        <v>42</v>
      </c>
      <c r="G884" s="7" t="s">
        <v>43</v>
      </c>
      <c r="H884" s="7" t="s">
        <v>83</v>
      </c>
      <c r="I884" s="7">
        <v>13</v>
      </c>
      <c r="J884" s="9">
        <v>192.1</v>
      </c>
      <c r="K884" s="10">
        <v>0.2104</v>
      </c>
      <c r="L884" s="9">
        <f t="shared" si="26"/>
        <v>1971.8680799999997</v>
      </c>
      <c r="M884" s="9">
        <f>ROUND(L884*0.2562,2)</f>
        <v>505.19</v>
      </c>
      <c r="N884" s="9">
        <f t="shared" si="27"/>
        <v>1466.6780799999997</v>
      </c>
    </row>
    <row r="885" spans="1:14" x14ac:dyDescent="0.35">
      <c r="A885" s="7" t="s">
        <v>968</v>
      </c>
      <c r="B885" s="8">
        <v>45950</v>
      </c>
      <c r="C885" s="7" t="s">
        <v>39</v>
      </c>
      <c r="D885" s="7" t="s">
        <v>66</v>
      </c>
      <c r="E885" s="7" t="s">
        <v>98</v>
      </c>
      <c r="F885" s="7" t="s">
        <v>42</v>
      </c>
      <c r="G885" s="7" t="s">
        <v>55</v>
      </c>
      <c r="H885" s="7" t="s">
        <v>108</v>
      </c>
      <c r="I885" s="7">
        <v>38</v>
      </c>
      <c r="J885" s="9">
        <v>28.47</v>
      </c>
      <c r="K885" s="10">
        <v>0.1002</v>
      </c>
      <c r="L885" s="9">
        <f t="shared" si="26"/>
        <v>973.457628</v>
      </c>
      <c r="M885" s="9">
        <f>ROUND(L885*0.5908,2)</f>
        <v>575.12</v>
      </c>
      <c r="N885" s="9">
        <f t="shared" si="27"/>
        <v>398.337628</v>
      </c>
    </row>
    <row r="886" spans="1:14" x14ac:dyDescent="0.35">
      <c r="A886" s="7" t="s">
        <v>969</v>
      </c>
      <c r="B886" s="8">
        <v>45950</v>
      </c>
      <c r="C886" s="7" t="s">
        <v>46</v>
      </c>
      <c r="D886" s="7" t="s">
        <v>69</v>
      </c>
      <c r="E886" s="7" t="s">
        <v>113</v>
      </c>
      <c r="F886" s="7" t="s">
        <v>48</v>
      </c>
      <c r="G886" s="7" t="s">
        <v>55</v>
      </c>
      <c r="H886" s="7" t="s">
        <v>74</v>
      </c>
      <c r="I886" s="7">
        <v>1</v>
      </c>
      <c r="J886" s="9">
        <v>258.45</v>
      </c>
      <c r="K886" s="10">
        <v>2.4299999999999999E-2</v>
      </c>
      <c r="L886" s="9">
        <f t="shared" si="26"/>
        <v>252.16966499999998</v>
      </c>
      <c r="M886" s="9">
        <f>ROUND(L886*0.2326,2)</f>
        <v>58.65</v>
      </c>
      <c r="N886" s="9">
        <f t="shared" si="27"/>
        <v>193.51966499999997</v>
      </c>
    </row>
    <row r="887" spans="1:14" x14ac:dyDescent="0.35">
      <c r="A887" s="7" t="s">
        <v>970</v>
      </c>
      <c r="B887" s="8">
        <v>45951</v>
      </c>
      <c r="C887" s="7" t="s">
        <v>76</v>
      </c>
      <c r="D887" s="7" t="s">
        <v>66</v>
      </c>
      <c r="E887" s="7" t="s">
        <v>73</v>
      </c>
      <c r="F887" s="7" t="s">
        <v>42</v>
      </c>
      <c r="G887" s="7" t="s">
        <v>43</v>
      </c>
      <c r="H887" s="7" t="s">
        <v>151</v>
      </c>
      <c r="I887" s="7">
        <v>21</v>
      </c>
      <c r="J887" s="9">
        <v>39.590000000000003</v>
      </c>
      <c r="K887" s="10">
        <v>0.15279999999999999</v>
      </c>
      <c r="L887" s="9">
        <f t="shared" si="26"/>
        <v>704.35360800000001</v>
      </c>
      <c r="M887" s="9">
        <f>ROUND(L887*0.5732,2)</f>
        <v>403.74</v>
      </c>
      <c r="N887" s="9">
        <f t="shared" si="27"/>
        <v>300.613608</v>
      </c>
    </row>
    <row r="888" spans="1:14" x14ac:dyDescent="0.35">
      <c r="A888" s="7" t="s">
        <v>971</v>
      </c>
      <c r="B888" s="8">
        <v>45951</v>
      </c>
      <c r="C888" s="7" t="s">
        <v>52</v>
      </c>
      <c r="D888" s="7" t="s">
        <v>53</v>
      </c>
      <c r="E888" s="7" t="s">
        <v>81</v>
      </c>
      <c r="F888" s="7" t="s">
        <v>48</v>
      </c>
      <c r="G888" s="7" t="s">
        <v>55</v>
      </c>
      <c r="H888" s="7" t="s">
        <v>56</v>
      </c>
      <c r="I888" s="7">
        <v>3</v>
      </c>
      <c r="J888" s="9">
        <v>1137.25</v>
      </c>
      <c r="K888" s="10">
        <v>4.7100000000000003E-2</v>
      </c>
      <c r="L888" s="9">
        <f t="shared" si="26"/>
        <v>3251.0565750000001</v>
      </c>
      <c r="M888" s="9">
        <f>ROUND(L888*0.6948,2)</f>
        <v>2258.83</v>
      </c>
      <c r="N888" s="9">
        <f t="shared" si="27"/>
        <v>992.22657500000014</v>
      </c>
    </row>
    <row r="889" spans="1:14" x14ac:dyDescent="0.35">
      <c r="A889" s="7" t="s">
        <v>972</v>
      </c>
      <c r="B889" s="8">
        <v>45951</v>
      </c>
      <c r="C889" s="7" t="s">
        <v>39</v>
      </c>
      <c r="D889" s="7" t="s">
        <v>40</v>
      </c>
      <c r="E889" s="7" t="s">
        <v>139</v>
      </c>
      <c r="F889" s="7" t="s">
        <v>59</v>
      </c>
      <c r="G889" s="7" t="s">
        <v>49</v>
      </c>
      <c r="H889" s="7" t="s">
        <v>60</v>
      </c>
      <c r="I889" s="7">
        <v>10</v>
      </c>
      <c r="J889" s="9">
        <v>316.86</v>
      </c>
      <c r="K889" s="10">
        <v>0.11269999999999999</v>
      </c>
      <c r="L889" s="9">
        <f t="shared" si="26"/>
        <v>2811.4987800000004</v>
      </c>
      <c r="M889" s="9">
        <f>ROUND(L889*0.6173,2)</f>
        <v>1735.54</v>
      </c>
      <c r="N889" s="9">
        <f t="shared" si="27"/>
        <v>1075.9587800000004</v>
      </c>
    </row>
    <row r="890" spans="1:14" x14ac:dyDescent="0.35">
      <c r="A890" s="7" t="s">
        <v>973</v>
      </c>
      <c r="B890" s="8">
        <v>45951</v>
      </c>
      <c r="C890" s="7" t="s">
        <v>39</v>
      </c>
      <c r="D890" s="7" t="s">
        <v>66</v>
      </c>
      <c r="E890" s="7" t="s">
        <v>98</v>
      </c>
      <c r="F890" s="7" t="s">
        <v>59</v>
      </c>
      <c r="G890" s="7" t="s">
        <v>49</v>
      </c>
      <c r="H890" s="7" t="s">
        <v>44</v>
      </c>
      <c r="I890" s="7">
        <v>6</v>
      </c>
      <c r="J890" s="9">
        <v>28.63</v>
      </c>
      <c r="K890" s="10">
        <v>0.1065</v>
      </c>
      <c r="L890" s="9">
        <f t="shared" si="26"/>
        <v>153.48543000000001</v>
      </c>
      <c r="M890" s="9">
        <f>ROUND(L890*0.564,2)</f>
        <v>86.57</v>
      </c>
      <c r="N890" s="9">
        <f t="shared" si="27"/>
        <v>66.915430000000015</v>
      </c>
    </row>
    <row r="891" spans="1:14" x14ac:dyDescent="0.35">
      <c r="A891" s="7" t="s">
        <v>974</v>
      </c>
      <c r="B891" s="8">
        <v>45951</v>
      </c>
      <c r="C891" s="7" t="s">
        <v>52</v>
      </c>
      <c r="D891" s="7" t="s">
        <v>66</v>
      </c>
      <c r="E891" s="7" t="s">
        <v>67</v>
      </c>
      <c r="F891" s="7" t="s">
        <v>48</v>
      </c>
      <c r="G891" s="7" t="s">
        <v>55</v>
      </c>
      <c r="H891" s="7" t="s">
        <v>56</v>
      </c>
      <c r="I891" s="7">
        <v>3</v>
      </c>
      <c r="J891" s="9">
        <v>92.37</v>
      </c>
      <c r="K891" s="10">
        <v>3.5999999999999997E-2</v>
      </c>
      <c r="L891" s="9">
        <f t="shared" si="26"/>
        <v>267.13404000000003</v>
      </c>
      <c r="M891" s="9">
        <f>ROUND(L891*0.5587,2)</f>
        <v>149.25</v>
      </c>
      <c r="N891" s="9">
        <f t="shared" si="27"/>
        <v>117.88404000000003</v>
      </c>
    </row>
    <row r="892" spans="1:14" x14ac:dyDescent="0.35">
      <c r="A892" s="7" t="s">
        <v>975</v>
      </c>
      <c r="B892" s="8">
        <v>45952</v>
      </c>
      <c r="C892" s="7" t="s">
        <v>46</v>
      </c>
      <c r="D892" s="7" t="s">
        <v>53</v>
      </c>
      <c r="E892" s="7" t="s">
        <v>58</v>
      </c>
      <c r="F892" s="7" t="s">
        <v>48</v>
      </c>
      <c r="G892" s="7" t="s">
        <v>49</v>
      </c>
      <c r="H892" s="7" t="s">
        <v>95</v>
      </c>
      <c r="I892" s="7">
        <v>3</v>
      </c>
      <c r="J892" s="9">
        <v>676.09</v>
      </c>
      <c r="K892" s="10">
        <v>1.83E-2</v>
      </c>
      <c r="L892" s="9">
        <f t="shared" si="26"/>
        <v>1991.1526590000001</v>
      </c>
      <c r="M892" s="9">
        <f>ROUND(L892*0.7024,2)</f>
        <v>1398.59</v>
      </c>
      <c r="N892" s="9">
        <f t="shared" si="27"/>
        <v>592.56265900000017</v>
      </c>
    </row>
    <row r="893" spans="1:14" x14ac:dyDescent="0.35">
      <c r="A893" s="7" t="s">
        <v>976</v>
      </c>
      <c r="B893" s="8">
        <v>45953</v>
      </c>
      <c r="C893" s="7" t="s">
        <v>76</v>
      </c>
      <c r="D893" s="7" t="s">
        <v>53</v>
      </c>
      <c r="E893" s="7" t="s">
        <v>81</v>
      </c>
      <c r="F893" s="7" t="s">
        <v>48</v>
      </c>
      <c r="G893" s="7" t="s">
        <v>55</v>
      </c>
      <c r="H893" s="7" t="s">
        <v>78</v>
      </c>
      <c r="I893" s="7">
        <v>1</v>
      </c>
      <c r="J893" s="9">
        <v>1139.02</v>
      </c>
      <c r="K893" s="10">
        <v>5.7999999999999996E-3</v>
      </c>
      <c r="L893" s="9">
        <f t="shared" si="26"/>
        <v>1132.4136839999999</v>
      </c>
      <c r="M893" s="9">
        <f>ROUND(L893*0.7255,2)</f>
        <v>821.57</v>
      </c>
      <c r="N893" s="9">
        <f t="shared" si="27"/>
        <v>310.84368399999983</v>
      </c>
    </row>
    <row r="894" spans="1:14" x14ac:dyDescent="0.35">
      <c r="A894" s="7" t="s">
        <v>977</v>
      </c>
      <c r="B894" s="8">
        <v>45953</v>
      </c>
      <c r="C894" s="7" t="s">
        <v>46</v>
      </c>
      <c r="D894" s="7" t="s">
        <v>53</v>
      </c>
      <c r="E894" s="7" t="s">
        <v>105</v>
      </c>
      <c r="F894" s="7" t="s">
        <v>48</v>
      </c>
      <c r="G894" s="7" t="s">
        <v>49</v>
      </c>
      <c r="H894" s="7" t="s">
        <v>50</v>
      </c>
      <c r="I894" s="7">
        <v>2</v>
      </c>
      <c r="J894" s="9">
        <v>436.1</v>
      </c>
      <c r="K894" s="10">
        <v>2.3199999999999998E-2</v>
      </c>
      <c r="L894" s="9">
        <f t="shared" si="26"/>
        <v>851.96496000000002</v>
      </c>
      <c r="M894" s="9">
        <f>ROUND(L894*0.7267,2)</f>
        <v>619.12</v>
      </c>
      <c r="N894" s="9">
        <f t="shared" si="27"/>
        <v>232.84496000000001</v>
      </c>
    </row>
    <row r="895" spans="1:14" x14ac:dyDescent="0.35">
      <c r="A895" s="7" t="s">
        <v>978</v>
      </c>
      <c r="B895" s="8">
        <v>45953</v>
      </c>
      <c r="C895" s="7" t="s">
        <v>76</v>
      </c>
      <c r="D895" s="7" t="s">
        <v>53</v>
      </c>
      <c r="E895" s="7" t="s">
        <v>81</v>
      </c>
      <c r="F895" s="7" t="s">
        <v>48</v>
      </c>
      <c r="G895" s="7" t="s">
        <v>55</v>
      </c>
      <c r="H895" s="7" t="s">
        <v>78</v>
      </c>
      <c r="I895" s="7">
        <v>3</v>
      </c>
      <c r="J895" s="9">
        <v>1074.48</v>
      </c>
      <c r="K895" s="10">
        <v>2.3400000000000001E-2</v>
      </c>
      <c r="L895" s="9">
        <f t="shared" si="26"/>
        <v>3148.0115040000001</v>
      </c>
      <c r="M895" s="9">
        <f>ROUND(L895*0.738,2)</f>
        <v>2323.23</v>
      </c>
      <c r="N895" s="9">
        <f t="shared" si="27"/>
        <v>824.78150400000004</v>
      </c>
    </row>
    <row r="896" spans="1:14" x14ac:dyDescent="0.35">
      <c r="A896" s="7" t="s">
        <v>979</v>
      </c>
      <c r="B896" s="8">
        <v>45953</v>
      </c>
      <c r="C896" s="7" t="s">
        <v>46</v>
      </c>
      <c r="D896" s="7" t="s">
        <v>53</v>
      </c>
      <c r="E896" s="7" t="s">
        <v>105</v>
      </c>
      <c r="F896" s="7" t="s">
        <v>42</v>
      </c>
      <c r="G896" s="7" t="s">
        <v>49</v>
      </c>
      <c r="H896" s="7" t="s">
        <v>95</v>
      </c>
      <c r="I896" s="7">
        <v>10</v>
      </c>
      <c r="J896" s="9">
        <v>425.33</v>
      </c>
      <c r="K896" s="10">
        <v>9.9000000000000005E-2</v>
      </c>
      <c r="L896" s="9">
        <f t="shared" si="26"/>
        <v>3832.2233000000001</v>
      </c>
      <c r="M896" s="9">
        <f>ROUND(L896*0.7071,2)</f>
        <v>2709.77</v>
      </c>
      <c r="N896" s="9">
        <f t="shared" si="27"/>
        <v>1122.4533000000001</v>
      </c>
    </row>
    <row r="897" spans="1:14" x14ac:dyDescent="0.35">
      <c r="A897" s="7" t="s">
        <v>980</v>
      </c>
      <c r="B897" s="8">
        <v>45953</v>
      </c>
      <c r="C897" s="7" t="s">
        <v>52</v>
      </c>
      <c r="D897" s="7" t="s">
        <v>40</v>
      </c>
      <c r="E897" s="7" t="s">
        <v>47</v>
      </c>
      <c r="F897" s="7" t="s">
        <v>48</v>
      </c>
      <c r="G897" s="7" t="s">
        <v>55</v>
      </c>
      <c r="H897" s="7" t="s">
        <v>56</v>
      </c>
      <c r="I897" s="7">
        <v>2</v>
      </c>
      <c r="J897" s="9">
        <v>241.81</v>
      </c>
      <c r="K897" s="10">
        <v>3.4200000000000001E-2</v>
      </c>
      <c r="L897" s="9">
        <f t="shared" si="26"/>
        <v>467.080196</v>
      </c>
      <c r="M897" s="9">
        <f>ROUND(L897*0.6283,2)</f>
        <v>293.47000000000003</v>
      </c>
      <c r="N897" s="9">
        <f t="shared" si="27"/>
        <v>173.61019599999997</v>
      </c>
    </row>
    <row r="898" spans="1:14" x14ac:dyDescent="0.35">
      <c r="A898" s="7" t="s">
        <v>981</v>
      </c>
      <c r="B898" s="8">
        <v>45954</v>
      </c>
      <c r="C898" s="7" t="s">
        <v>52</v>
      </c>
      <c r="D898" s="7" t="s">
        <v>40</v>
      </c>
      <c r="E898" s="7" t="s">
        <v>91</v>
      </c>
      <c r="F898" s="7" t="s">
        <v>48</v>
      </c>
      <c r="G898" s="7" t="s">
        <v>55</v>
      </c>
      <c r="H898" s="7" t="s">
        <v>56</v>
      </c>
      <c r="I898" s="7">
        <v>1</v>
      </c>
      <c r="J898" s="9">
        <v>125.87</v>
      </c>
      <c r="K898" s="10">
        <v>2.7900000000000001E-2</v>
      </c>
      <c r="L898" s="9">
        <f t="shared" ref="L898:L961" si="28">I898*J898*(1-K898)</f>
        <v>122.358227</v>
      </c>
      <c r="M898" s="9">
        <f>ROUND(L898*0.6138,2)</f>
        <v>75.099999999999994</v>
      </c>
      <c r="N898" s="9">
        <f t="shared" ref="N898:N961" si="29">L898-M898</f>
        <v>47.258227000000005</v>
      </c>
    </row>
    <row r="899" spans="1:14" x14ac:dyDescent="0.35">
      <c r="A899" s="7" t="s">
        <v>982</v>
      </c>
      <c r="B899" s="8">
        <v>45954</v>
      </c>
      <c r="C899" s="7" t="s">
        <v>39</v>
      </c>
      <c r="D899" s="7" t="s">
        <v>69</v>
      </c>
      <c r="E899" s="7" t="s">
        <v>107</v>
      </c>
      <c r="F899" s="7" t="s">
        <v>42</v>
      </c>
      <c r="G899" s="7" t="s">
        <v>49</v>
      </c>
      <c r="H899" s="7" t="s">
        <v>44</v>
      </c>
      <c r="I899" s="7">
        <v>17</v>
      </c>
      <c r="J899" s="9">
        <v>58.15</v>
      </c>
      <c r="K899" s="10">
        <v>0.14130000000000001</v>
      </c>
      <c r="L899" s="9">
        <f t="shared" si="28"/>
        <v>848.867885</v>
      </c>
      <c r="M899" s="9">
        <f>ROUND(L899*0.2223,2)</f>
        <v>188.7</v>
      </c>
      <c r="N899" s="9">
        <f t="shared" si="29"/>
        <v>660.16788500000007</v>
      </c>
    </row>
    <row r="900" spans="1:14" x14ac:dyDescent="0.35">
      <c r="A900" s="7" t="s">
        <v>983</v>
      </c>
      <c r="B900" s="8">
        <v>45954</v>
      </c>
      <c r="C900" s="7" t="s">
        <v>52</v>
      </c>
      <c r="D900" s="7" t="s">
        <v>66</v>
      </c>
      <c r="E900" s="7" t="s">
        <v>137</v>
      </c>
      <c r="F900" s="7" t="s">
        <v>59</v>
      </c>
      <c r="G900" s="7" t="s">
        <v>55</v>
      </c>
      <c r="H900" s="7" t="s">
        <v>56</v>
      </c>
      <c r="I900" s="7">
        <v>6</v>
      </c>
      <c r="J900" s="9">
        <v>157.97</v>
      </c>
      <c r="K900" s="10">
        <v>9.6799999999999997E-2</v>
      </c>
      <c r="L900" s="9">
        <f t="shared" si="28"/>
        <v>856.07102399999997</v>
      </c>
      <c r="M900" s="9">
        <f>ROUND(L900*0.5742,2)</f>
        <v>491.56</v>
      </c>
      <c r="N900" s="9">
        <f t="shared" si="29"/>
        <v>364.51102399999996</v>
      </c>
    </row>
    <row r="901" spans="1:14" x14ac:dyDescent="0.35">
      <c r="A901" s="7" t="s">
        <v>984</v>
      </c>
      <c r="B901" s="8">
        <v>45954</v>
      </c>
      <c r="C901" s="7" t="s">
        <v>76</v>
      </c>
      <c r="D901" s="7" t="s">
        <v>40</v>
      </c>
      <c r="E901" s="7" t="s">
        <v>62</v>
      </c>
      <c r="F901" s="7" t="s">
        <v>59</v>
      </c>
      <c r="G901" s="7" t="s">
        <v>55</v>
      </c>
      <c r="H901" s="7" t="s">
        <v>78</v>
      </c>
      <c r="I901" s="7">
        <v>9</v>
      </c>
      <c r="J901" s="9">
        <v>194.75</v>
      </c>
      <c r="K901" s="10">
        <v>8.0299999999999996E-2</v>
      </c>
      <c r="L901" s="9">
        <f t="shared" si="28"/>
        <v>1612.004175</v>
      </c>
      <c r="M901" s="9">
        <f>ROUND(L901*0.6425,2)</f>
        <v>1035.71</v>
      </c>
      <c r="N901" s="9">
        <f t="shared" si="29"/>
        <v>576.294175</v>
      </c>
    </row>
    <row r="902" spans="1:14" x14ac:dyDescent="0.35">
      <c r="A902" s="7" t="s">
        <v>985</v>
      </c>
      <c r="B902" s="8">
        <v>45955</v>
      </c>
      <c r="C902" s="7" t="s">
        <v>76</v>
      </c>
      <c r="D902" s="7" t="s">
        <v>66</v>
      </c>
      <c r="E902" s="7" t="s">
        <v>137</v>
      </c>
      <c r="F902" s="7" t="s">
        <v>48</v>
      </c>
      <c r="G902" s="7" t="s">
        <v>49</v>
      </c>
      <c r="H902" s="7" t="s">
        <v>110</v>
      </c>
      <c r="I902" s="7">
        <v>1</v>
      </c>
      <c r="J902" s="9">
        <v>149.96</v>
      </c>
      <c r="K902" s="10">
        <v>3.2300000000000002E-2</v>
      </c>
      <c r="L902" s="9">
        <f t="shared" si="28"/>
        <v>145.11629200000002</v>
      </c>
      <c r="M902" s="9">
        <f>ROUND(L902*0.5698,2)</f>
        <v>82.69</v>
      </c>
      <c r="N902" s="9">
        <f t="shared" si="29"/>
        <v>62.426292000000018</v>
      </c>
    </row>
    <row r="903" spans="1:14" x14ac:dyDescent="0.35">
      <c r="A903" s="7" t="s">
        <v>986</v>
      </c>
      <c r="B903" s="8">
        <v>45955</v>
      </c>
      <c r="C903" s="7" t="s">
        <v>52</v>
      </c>
      <c r="D903" s="7" t="s">
        <v>40</v>
      </c>
      <c r="E903" s="7" t="s">
        <v>41</v>
      </c>
      <c r="F903" s="7" t="s">
        <v>48</v>
      </c>
      <c r="G903" s="7" t="s">
        <v>49</v>
      </c>
      <c r="H903" s="7" t="s">
        <v>64</v>
      </c>
      <c r="I903" s="7">
        <v>3</v>
      </c>
      <c r="J903" s="9">
        <v>394.46</v>
      </c>
      <c r="K903" s="10">
        <v>8.0600000000000005E-2</v>
      </c>
      <c r="L903" s="9">
        <f t="shared" si="28"/>
        <v>1087.9995719999999</v>
      </c>
      <c r="M903" s="9">
        <f>ROUND(L903*0.6105,2)</f>
        <v>664.22</v>
      </c>
      <c r="N903" s="9">
        <f t="shared" si="29"/>
        <v>423.77957199999992</v>
      </c>
    </row>
    <row r="904" spans="1:14" x14ac:dyDescent="0.35">
      <c r="A904" s="7" t="s">
        <v>987</v>
      </c>
      <c r="B904" s="8">
        <v>45955</v>
      </c>
      <c r="C904" s="7" t="s">
        <v>46</v>
      </c>
      <c r="D904" s="7" t="s">
        <v>66</v>
      </c>
      <c r="E904" s="7" t="s">
        <v>137</v>
      </c>
      <c r="F904" s="7" t="s">
        <v>59</v>
      </c>
      <c r="G904" s="7" t="s">
        <v>55</v>
      </c>
      <c r="H904" s="7" t="s">
        <v>74</v>
      </c>
      <c r="I904" s="7">
        <v>5</v>
      </c>
      <c r="J904" s="9">
        <v>153.72</v>
      </c>
      <c r="K904" s="10">
        <v>5.4100000000000002E-2</v>
      </c>
      <c r="L904" s="9">
        <f t="shared" si="28"/>
        <v>727.01873999999998</v>
      </c>
      <c r="M904" s="9">
        <f>ROUND(L904*0.5953,2)</f>
        <v>432.79</v>
      </c>
      <c r="N904" s="9">
        <f t="shared" si="29"/>
        <v>294.22873999999996</v>
      </c>
    </row>
    <row r="905" spans="1:14" x14ac:dyDescent="0.35">
      <c r="A905" s="7" t="s">
        <v>988</v>
      </c>
      <c r="B905" s="8">
        <v>45956</v>
      </c>
      <c r="C905" s="7" t="s">
        <v>46</v>
      </c>
      <c r="D905" s="7" t="s">
        <v>53</v>
      </c>
      <c r="E905" s="7" t="s">
        <v>87</v>
      </c>
      <c r="F905" s="7" t="s">
        <v>48</v>
      </c>
      <c r="G905" s="7" t="s">
        <v>55</v>
      </c>
      <c r="H905" s="7" t="s">
        <v>74</v>
      </c>
      <c r="I905" s="7">
        <v>2</v>
      </c>
      <c r="J905" s="9">
        <v>878.09</v>
      </c>
      <c r="K905" s="10">
        <v>5.8000000000000003E-2</v>
      </c>
      <c r="L905" s="9">
        <f t="shared" si="28"/>
        <v>1654.3215599999999</v>
      </c>
      <c r="M905" s="9">
        <f>ROUND(L905*0.7082,2)</f>
        <v>1171.5899999999999</v>
      </c>
      <c r="N905" s="9">
        <f t="shared" si="29"/>
        <v>482.73155999999994</v>
      </c>
    </row>
    <row r="906" spans="1:14" x14ac:dyDescent="0.35">
      <c r="A906" s="7" t="s">
        <v>989</v>
      </c>
      <c r="B906" s="8">
        <v>45956</v>
      </c>
      <c r="C906" s="7" t="s">
        <v>76</v>
      </c>
      <c r="D906" s="7" t="s">
        <v>69</v>
      </c>
      <c r="E906" s="7" t="s">
        <v>113</v>
      </c>
      <c r="F906" s="7" t="s">
        <v>59</v>
      </c>
      <c r="G906" s="7" t="s">
        <v>49</v>
      </c>
      <c r="H906" s="7" t="s">
        <v>110</v>
      </c>
      <c r="I906" s="7">
        <v>7</v>
      </c>
      <c r="J906" s="9">
        <v>240.45</v>
      </c>
      <c r="K906" s="10">
        <v>8.3500000000000005E-2</v>
      </c>
      <c r="L906" s="9">
        <f t="shared" si="28"/>
        <v>1542.6069749999999</v>
      </c>
      <c r="M906" s="9">
        <f>ROUND(L906*0.2129,2)</f>
        <v>328.42</v>
      </c>
      <c r="N906" s="9">
        <f t="shared" si="29"/>
        <v>1214.1869749999998</v>
      </c>
    </row>
    <row r="907" spans="1:14" x14ac:dyDescent="0.35">
      <c r="A907" s="7" t="s">
        <v>990</v>
      </c>
      <c r="B907" s="8">
        <v>45956</v>
      </c>
      <c r="C907" s="7" t="s">
        <v>52</v>
      </c>
      <c r="D907" s="7" t="s">
        <v>40</v>
      </c>
      <c r="E907" s="7" t="s">
        <v>62</v>
      </c>
      <c r="F907" s="7" t="s">
        <v>59</v>
      </c>
      <c r="G907" s="7" t="s">
        <v>55</v>
      </c>
      <c r="H907" s="7" t="s">
        <v>56</v>
      </c>
      <c r="I907" s="7">
        <v>10</v>
      </c>
      <c r="J907" s="9">
        <v>192.39</v>
      </c>
      <c r="K907" s="10">
        <v>6.7500000000000004E-2</v>
      </c>
      <c r="L907" s="9">
        <f t="shared" si="28"/>
        <v>1794.0367499999998</v>
      </c>
      <c r="M907" s="9">
        <f>ROUND(L907*0.6292,2)</f>
        <v>1128.81</v>
      </c>
      <c r="N907" s="9">
        <f t="shared" si="29"/>
        <v>665.22674999999981</v>
      </c>
    </row>
    <row r="908" spans="1:14" x14ac:dyDescent="0.35">
      <c r="A908" s="7" t="s">
        <v>991</v>
      </c>
      <c r="B908" s="8">
        <v>45957</v>
      </c>
      <c r="C908" s="7" t="s">
        <v>39</v>
      </c>
      <c r="D908" s="7" t="s">
        <v>66</v>
      </c>
      <c r="E908" s="7" t="s">
        <v>137</v>
      </c>
      <c r="F908" s="7" t="s">
        <v>48</v>
      </c>
      <c r="G908" s="7" t="s">
        <v>55</v>
      </c>
      <c r="H908" s="7" t="s">
        <v>108</v>
      </c>
      <c r="I908" s="7">
        <v>1</v>
      </c>
      <c r="J908" s="9">
        <v>162.78</v>
      </c>
      <c r="K908" s="10">
        <v>3.73E-2</v>
      </c>
      <c r="L908" s="9">
        <f t="shared" si="28"/>
        <v>156.70830599999999</v>
      </c>
      <c r="M908" s="9">
        <f>ROUND(L908*0.5601,2)</f>
        <v>87.77</v>
      </c>
      <c r="N908" s="9">
        <f t="shared" si="29"/>
        <v>68.938305999999997</v>
      </c>
    </row>
    <row r="909" spans="1:14" x14ac:dyDescent="0.35">
      <c r="A909" s="7" t="s">
        <v>992</v>
      </c>
      <c r="B909" s="8">
        <v>45958</v>
      </c>
      <c r="C909" s="7" t="s">
        <v>39</v>
      </c>
      <c r="D909" s="7" t="s">
        <v>69</v>
      </c>
      <c r="E909" s="7" t="s">
        <v>70</v>
      </c>
      <c r="F909" s="7" t="s">
        <v>48</v>
      </c>
      <c r="G909" s="7" t="s">
        <v>55</v>
      </c>
      <c r="H909" s="7" t="s">
        <v>108</v>
      </c>
      <c r="I909" s="7">
        <v>3</v>
      </c>
      <c r="J909" s="9">
        <v>151.85</v>
      </c>
      <c r="K909" s="10">
        <v>4.9200000000000001E-2</v>
      </c>
      <c r="L909" s="9">
        <f t="shared" si="28"/>
        <v>433.13693999999992</v>
      </c>
      <c r="M909" s="9">
        <f>ROUND(L909*0.2462,2)</f>
        <v>106.64</v>
      </c>
      <c r="N909" s="9">
        <f t="shared" si="29"/>
        <v>326.49693999999994</v>
      </c>
    </row>
    <row r="910" spans="1:14" x14ac:dyDescent="0.35">
      <c r="A910" s="7" t="s">
        <v>993</v>
      </c>
      <c r="B910" s="8">
        <v>45958</v>
      </c>
      <c r="C910" s="7" t="s">
        <v>76</v>
      </c>
      <c r="D910" s="7" t="s">
        <v>40</v>
      </c>
      <c r="E910" s="7" t="s">
        <v>139</v>
      </c>
      <c r="F910" s="7" t="s">
        <v>42</v>
      </c>
      <c r="G910" s="7" t="s">
        <v>49</v>
      </c>
      <c r="H910" s="7" t="s">
        <v>151</v>
      </c>
      <c r="I910" s="7">
        <v>18</v>
      </c>
      <c r="J910" s="9">
        <v>309.04000000000002</v>
      </c>
      <c r="K910" s="10">
        <v>0.1116</v>
      </c>
      <c r="L910" s="9">
        <f t="shared" si="28"/>
        <v>4941.9204479999999</v>
      </c>
      <c r="M910" s="9">
        <f>ROUND(L910*0.6646,2)</f>
        <v>3284.4</v>
      </c>
      <c r="N910" s="9">
        <f t="shared" si="29"/>
        <v>1657.5204479999998</v>
      </c>
    </row>
    <row r="911" spans="1:14" x14ac:dyDescent="0.35">
      <c r="A911" s="7" t="s">
        <v>994</v>
      </c>
      <c r="B911" s="8">
        <v>45959</v>
      </c>
      <c r="C911" s="7" t="s">
        <v>52</v>
      </c>
      <c r="D911" s="7" t="s">
        <v>66</v>
      </c>
      <c r="E911" s="7" t="s">
        <v>73</v>
      </c>
      <c r="F911" s="7" t="s">
        <v>59</v>
      </c>
      <c r="G911" s="7" t="s">
        <v>43</v>
      </c>
      <c r="H911" s="7" t="s">
        <v>83</v>
      </c>
      <c r="I911" s="7">
        <v>5</v>
      </c>
      <c r="J911" s="9">
        <v>37.96</v>
      </c>
      <c r="K911" s="10">
        <v>0.11020000000000001</v>
      </c>
      <c r="L911" s="9">
        <f t="shared" si="28"/>
        <v>168.88404000000003</v>
      </c>
      <c r="M911" s="9">
        <f>ROUND(L911*0.5871,2)</f>
        <v>99.15</v>
      </c>
      <c r="N911" s="9">
        <f t="shared" si="29"/>
        <v>69.734040000000022</v>
      </c>
    </row>
    <row r="912" spans="1:14" x14ac:dyDescent="0.35">
      <c r="A912" s="7" t="s">
        <v>995</v>
      </c>
      <c r="B912" s="8">
        <v>45959</v>
      </c>
      <c r="C912" s="7" t="s">
        <v>39</v>
      </c>
      <c r="D912" s="7" t="s">
        <v>53</v>
      </c>
      <c r="E912" s="7" t="s">
        <v>81</v>
      </c>
      <c r="F912" s="7" t="s">
        <v>59</v>
      </c>
      <c r="G912" s="7" t="s">
        <v>43</v>
      </c>
      <c r="H912" s="7" t="s">
        <v>44</v>
      </c>
      <c r="I912" s="7">
        <v>7</v>
      </c>
      <c r="J912" s="9">
        <v>1086.56</v>
      </c>
      <c r="K912" s="10">
        <v>0.1351</v>
      </c>
      <c r="L912" s="9">
        <f t="shared" si="28"/>
        <v>6578.3602080000001</v>
      </c>
      <c r="M912" s="9">
        <f>ROUND(L912*0.6861,2)</f>
        <v>4513.41</v>
      </c>
      <c r="N912" s="9">
        <f t="shared" si="29"/>
        <v>2064.9502080000002</v>
      </c>
    </row>
    <row r="913" spans="1:14" x14ac:dyDescent="0.35">
      <c r="A913" s="7" t="s">
        <v>996</v>
      </c>
      <c r="B913" s="8">
        <v>45959</v>
      </c>
      <c r="C913" s="7" t="s">
        <v>52</v>
      </c>
      <c r="D913" s="7" t="s">
        <v>40</v>
      </c>
      <c r="E913" s="7" t="s">
        <v>91</v>
      </c>
      <c r="F913" s="7" t="s">
        <v>42</v>
      </c>
      <c r="G913" s="7" t="s">
        <v>49</v>
      </c>
      <c r="H913" s="7" t="s">
        <v>83</v>
      </c>
      <c r="I913" s="7">
        <v>9</v>
      </c>
      <c r="J913" s="9">
        <v>124.56</v>
      </c>
      <c r="K913" s="10">
        <v>0.1318</v>
      </c>
      <c r="L913" s="9">
        <f t="shared" si="28"/>
        <v>973.28692799999999</v>
      </c>
      <c r="M913" s="9">
        <f>ROUND(L913*0.6531,2)</f>
        <v>635.65</v>
      </c>
      <c r="N913" s="9">
        <f t="shared" si="29"/>
        <v>337.63692800000001</v>
      </c>
    </row>
    <row r="914" spans="1:14" x14ac:dyDescent="0.35">
      <c r="A914" s="7" t="s">
        <v>997</v>
      </c>
      <c r="B914" s="8">
        <v>45959</v>
      </c>
      <c r="C914" s="7" t="s">
        <v>46</v>
      </c>
      <c r="D914" s="7" t="s">
        <v>69</v>
      </c>
      <c r="E914" s="7" t="s">
        <v>113</v>
      </c>
      <c r="F914" s="7" t="s">
        <v>48</v>
      </c>
      <c r="G914" s="7" t="s">
        <v>49</v>
      </c>
      <c r="H914" s="7" t="s">
        <v>95</v>
      </c>
      <c r="I914" s="7">
        <v>1</v>
      </c>
      <c r="J914" s="9">
        <v>244.67</v>
      </c>
      <c r="K914" s="10">
        <v>0.02</v>
      </c>
      <c r="L914" s="9">
        <f t="shared" si="28"/>
        <v>239.77659999999997</v>
      </c>
      <c r="M914" s="9">
        <f>ROUND(L914*0.2226,2)</f>
        <v>53.37</v>
      </c>
      <c r="N914" s="9">
        <f t="shared" si="29"/>
        <v>186.40659999999997</v>
      </c>
    </row>
    <row r="915" spans="1:14" x14ac:dyDescent="0.35">
      <c r="A915" s="7" t="s">
        <v>998</v>
      </c>
      <c r="B915" s="8">
        <v>45960</v>
      </c>
      <c r="C915" s="7" t="s">
        <v>39</v>
      </c>
      <c r="D915" s="7" t="s">
        <v>69</v>
      </c>
      <c r="E915" s="7" t="s">
        <v>113</v>
      </c>
      <c r="F915" s="7" t="s">
        <v>48</v>
      </c>
      <c r="G915" s="7" t="s">
        <v>55</v>
      </c>
      <c r="H915" s="7" t="s">
        <v>108</v>
      </c>
      <c r="I915" s="7">
        <v>2</v>
      </c>
      <c r="J915" s="9">
        <v>254.77</v>
      </c>
      <c r="K915" s="10">
        <v>4.07E-2</v>
      </c>
      <c r="L915" s="9">
        <f t="shared" si="28"/>
        <v>488.80172200000004</v>
      </c>
      <c r="M915" s="9">
        <f>ROUND(L915*0.2132,2)</f>
        <v>104.21</v>
      </c>
      <c r="N915" s="9">
        <f t="shared" si="29"/>
        <v>384.59172200000006</v>
      </c>
    </row>
    <row r="916" spans="1:14" x14ac:dyDescent="0.35">
      <c r="A916" s="7" t="s">
        <v>999</v>
      </c>
      <c r="B916" s="8">
        <v>45960</v>
      </c>
      <c r="C916" s="7" t="s">
        <v>39</v>
      </c>
      <c r="D916" s="7" t="s">
        <v>66</v>
      </c>
      <c r="E916" s="7" t="s">
        <v>98</v>
      </c>
      <c r="F916" s="7" t="s">
        <v>48</v>
      </c>
      <c r="G916" s="7" t="s">
        <v>55</v>
      </c>
      <c r="H916" s="7" t="s">
        <v>108</v>
      </c>
      <c r="I916" s="7">
        <v>3</v>
      </c>
      <c r="J916" s="9">
        <v>29.45</v>
      </c>
      <c r="K916" s="10">
        <v>4.9000000000000002E-2</v>
      </c>
      <c r="L916" s="9">
        <f t="shared" si="28"/>
        <v>84.020849999999996</v>
      </c>
      <c r="M916" s="9">
        <f>ROUND(L916*0.5915,2)</f>
        <v>49.7</v>
      </c>
      <c r="N916" s="9">
        <f t="shared" si="29"/>
        <v>34.320849999999993</v>
      </c>
    </row>
    <row r="917" spans="1:14" x14ac:dyDescent="0.35">
      <c r="A917" s="7" t="s">
        <v>1000</v>
      </c>
      <c r="B917" s="8">
        <v>45960</v>
      </c>
      <c r="C917" s="7" t="s">
        <v>76</v>
      </c>
      <c r="D917" s="7" t="s">
        <v>40</v>
      </c>
      <c r="E917" s="7" t="s">
        <v>41</v>
      </c>
      <c r="F917" s="7" t="s">
        <v>48</v>
      </c>
      <c r="G917" s="7" t="s">
        <v>55</v>
      </c>
      <c r="H917" s="7" t="s">
        <v>78</v>
      </c>
      <c r="I917" s="7">
        <v>2</v>
      </c>
      <c r="J917" s="9">
        <v>393.19</v>
      </c>
      <c r="K917" s="10">
        <v>1.8599999999999998E-2</v>
      </c>
      <c r="L917" s="9">
        <f t="shared" si="28"/>
        <v>771.753332</v>
      </c>
      <c r="M917" s="9">
        <f>ROUND(L917*0.6482,2)</f>
        <v>500.25</v>
      </c>
      <c r="N917" s="9">
        <f t="shared" si="29"/>
        <v>271.503332</v>
      </c>
    </row>
    <row r="918" spans="1:14" x14ac:dyDescent="0.35">
      <c r="A918" s="7" t="s">
        <v>1001</v>
      </c>
      <c r="B918" s="8">
        <v>45961</v>
      </c>
      <c r="C918" s="7" t="s">
        <v>76</v>
      </c>
      <c r="D918" s="7" t="s">
        <v>40</v>
      </c>
      <c r="E918" s="7" t="s">
        <v>47</v>
      </c>
      <c r="F918" s="7" t="s">
        <v>48</v>
      </c>
      <c r="G918" s="7" t="s">
        <v>55</v>
      </c>
      <c r="H918" s="7" t="s">
        <v>78</v>
      </c>
      <c r="I918" s="7">
        <v>1</v>
      </c>
      <c r="J918" s="9">
        <v>239.58</v>
      </c>
      <c r="K918" s="10">
        <v>4.4699999999999997E-2</v>
      </c>
      <c r="L918" s="9">
        <f t="shared" si="28"/>
        <v>228.87077400000001</v>
      </c>
      <c r="M918" s="9">
        <f>ROUND(L918*0.6334,2)</f>
        <v>144.97</v>
      </c>
      <c r="N918" s="9">
        <f t="shared" si="29"/>
        <v>83.900774000000013</v>
      </c>
    </row>
    <row r="919" spans="1:14" x14ac:dyDescent="0.35">
      <c r="A919" s="7" t="s">
        <v>1002</v>
      </c>
      <c r="B919" s="8">
        <v>45961</v>
      </c>
      <c r="C919" s="7" t="s">
        <v>46</v>
      </c>
      <c r="D919" s="7" t="s">
        <v>53</v>
      </c>
      <c r="E919" s="7" t="s">
        <v>81</v>
      </c>
      <c r="F919" s="7" t="s">
        <v>42</v>
      </c>
      <c r="G919" s="7" t="s">
        <v>43</v>
      </c>
      <c r="H919" s="7" t="s">
        <v>95</v>
      </c>
      <c r="I919" s="7">
        <v>8</v>
      </c>
      <c r="J919" s="9">
        <v>1065.2</v>
      </c>
      <c r="K919" s="10">
        <v>0.1457</v>
      </c>
      <c r="L919" s="9">
        <f t="shared" si="28"/>
        <v>7280.0028800000009</v>
      </c>
      <c r="M919" s="9">
        <f>ROUND(L919*0.6818,2)</f>
        <v>4963.51</v>
      </c>
      <c r="N919" s="9">
        <f t="shared" si="29"/>
        <v>2316.4928800000007</v>
      </c>
    </row>
    <row r="920" spans="1:14" x14ac:dyDescent="0.35">
      <c r="A920" s="7" t="s">
        <v>1003</v>
      </c>
      <c r="B920" s="8">
        <v>45961</v>
      </c>
      <c r="C920" s="7" t="s">
        <v>46</v>
      </c>
      <c r="D920" s="7" t="s">
        <v>69</v>
      </c>
      <c r="E920" s="7" t="s">
        <v>132</v>
      </c>
      <c r="F920" s="7" t="s">
        <v>48</v>
      </c>
      <c r="G920" s="7" t="s">
        <v>49</v>
      </c>
      <c r="H920" s="7" t="s">
        <v>50</v>
      </c>
      <c r="I920" s="7">
        <v>3</v>
      </c>
      <c r="J920" s="9">
        <v>79.3</v>
      </c>
      <c r="K920" s="10">
        <v>6.2300000000000001E-2</v>
      </c>
      <c r="L920" s="9">
        <f t="shared" si="28"/>
        <v>223.07882999999998</v>
      </c>
      <c r="M920" s="9">
        <f>ROUND(L920*0.2111,2)</f>
        <v>47.09</v>
      </c>
      <c r="N920" s="9">
        <f t="shared" si="29"/>
        <v>175.98882999999998</v>
      </c>
    </row>
    <row r="921" spans="1:14" x14ac:dyDescent="0.35">
      <c r="A921" s="7" t="s">
        <v>1004</v>
      </c>
      <c r="B921" s="8">
        <v>45961</v>
      </c>
      <c r="C921" s="7" t="s">
        <v>76</v>
      </c>
      <c r="D921" s="7" t="s">
        <v>53</v>
      </c>
      <c r="E921" s="7" t="s">
        <v>105</v>
      </c>
      <c r="F921" s="7" t="s">
        <v>48</v>
      </c>
      <c r="G921" s="7" t="s">
        <v>49</v>
      </c>
      <c r="H921" s="7" t="s">
        <v>110</v>
      </c>
      <c r="I921" s="7">
        <v>2</v>
      </c>
      <c r="J921" s="9">
        <v>418.26</v>
      </c>
      <c r="K921" s="10">
        <v>5.2999999999999999E-2</v>
      </c>
      <c r="L921" s="9">
        <f t="shared" si="28"/>
        <v>792.18444</v>
      </c>
      <c r="M921" s="9">
        <f>ROUND(L921*0.6904,2)</f>
        <v>546.91999999999996</v>
      </c>
      <c r="N921" s="9">
        <f t="shared" si="29"/>
        <v>245.26444000000004</v>
      </c>
    </row>
    <row r="922" spans="1:14" x14ac:dyDescent="0.35">
      <c r="A922" s="7" t="s">
        <v>1005</v>
      </c>
      <c r="B922" s="8">
        <v>45961</v>
      </c>
      <c r="C922" s="7" t="s">
        <v>46</v>
      </c>
      <c r="D922" s="7" t="s">
        <v>40</v>
      </c>
      <c r="E922" s="7" t="s">
        <v>47</v>
      </c>
      <c r="F922" s="7" t="s">
        <v>59</v>
      </c>
      <c r="G922" s="7" t="s">
        <v>49</v>
      </c>
      <c r="H922" s="7" t="s">
        <v>50</v>
      </c>
      <c r="I922" s="7">
        <v>5</v>
      </c>
      <c r="J922" s="9">
        <v>245.53</v>
      </c>
      <c r="K922" s="10">
        <v>0.1095</v>
      </c>
      <c r="L922" s="9">
        <f t="shared" si="28"/>
        <v>1093.222325</v>
      </c>
      <c r="M922" s="9">
        <f>ROUND(L922*0.6578,2)</f>
        <v>719.12</v>
      </c>
      <c r="N922" s="9">
        <f t="shared" si="29"/>
        <v>374.10232499999995</v>
      </c>
    </row>
    <row r="923" spans="1:14" x14ac:dyDescent="0.35">
      <c r="A923" s="7" t="s">
        <v>1006</v>
      </c>
      <c r="B923" s="8">
        <v>45962</v>
      </c>
      <c r="C923" s="7" t="s">
        <v>46</v>
      </c>
      <c r="D923" s="7" t="s">
        <v>40</v>
      </c>
      <c r="E923" s="7" t="s">
        <v>139</v>
      </c>
      <c r="F923" s="7" t="s">
        <v>59</v>
      </c>
      <c r="G923" s="7" t="s">
        <v>49</v>
      </c>
      <c r="H923" s="7" t="s">
        <v>50</v>
      </c>
      <c r="I923" s="7">
        <v>3</v>
      </c>
      <c r="J923" s="9">
        <v>312.3</v>
      </c>
      <c r="K923" s="10">
        <v>0.105</v>
      </c>
      <c r="L923" s="9">
        <f t="shared" si="28"/>
        <v>838.52550000000008</v>
      </c>
      <c r="M923" s="9">
        <f>ROUND(L923*0.6638,2)</f>
        <v>556.61</v>
      </c>
      <c r="N923" s="9">
        <f t="shared" si="29"/>
        <v>281.91550000000007</v>
      </c>
    </row>
    <row r="924" spans="1:14" x14ac:dyDescent="0.35">
      <c r="A924" s="7" t="s">
        <v>1007</v>
      </c>
      <c r="B924" s="8">
        <v>45962</v>
      </c>
      <c r="C924" s="7" t="s">
        <v>46</v>
      </c>
      <c r="D924" s="7" t="s">
        <v>53</v>
      </c>
      <c r="E924" s="7" t="s">
        <v>54</v>
      </c>
      <c r="F924" s="7" t="s">
        <v>48</v>
      </c>
      <c r="G924" s="7" t="s">
        <v>43</v>
      </c>
      <c r="H924" s="7" t="s">
        <v>50</v>
      </c>
      <c r="I924" s="7">
        <v>3</v>
      </c>
      <c r="J924" s="9">
        <v>1251.31</v>
      </c>
      <c r="K924" s="10">
        <v>6.8599999999999994E-2</v>
      </c>
      <c r="L924" s="9">
        <f t="shared" si="28"/>
        <v>3496.410402</v>
      </c>
      <c r="M924" s="9">
        <f>ROUND(L924*0.7211,2)</f>
        <v>2521.2600000000002</v>
      </c>
      <c r="N924" s="9">
        <f t="shared" si="29"/>
        <v>975.15040199999976</v>
      </c>
    </row>
    <row r="925" spans="1:14" x14ac:dyDescent="0.35">
      <c r="A925" s="7" t="s">
        <v>1008</v>
      </c>
      <c r="B925" s="8">
        <v>45962</v>
      </c>
      <c r="C925" s="7" t="s">
        <v>52</v>
      </c>
      <c r="D925" s="7" t="s">
        <v>66</v>
      </c>
      <c r="E925" s="7" t="s">
        <v>137</v>
      </c>
      <c r="F925" s="7" t="s">
        <v>48</v>
      </c>
      <c r="G925" s="7" t="s">
        <v>55</v>
      </c>
      <c r="H925" s="7" t="s">
        <v>56</v>
      </c>
      <c r="I925" s="7">
        <v>3</v>
      </c>
      <c r="J925" s="9">
        <v>162.19</v>
      </c>
      <c r="K925" s="10">
        <v>5.0200000000000002E-2</v>
      </c>
      <c r="L925" s="9">
        <f t="shared" si="28"/>
        <v>462.14418599999999</v>
      </c>
      <c r="M925" s="9">
        <f>ROUND(L925*0.5507,2)</f>
        <v>254.5</v>
      </c>
      <c r="N925" s="9">
        <f t="shared" si="29"/>
        <v>207.64418599999999</v>
      </c>
    </row>
    <row r="926" spans="1:14" x14ac:dyDescent="0.35">
      <c r="A926" s="7" t="s">
        <v>1009</v>
      </c>
      <c r="B926" s="8">
        <v>45962</v>
      </c>
      <c r="C926" s="7" t="s">
        <v>39</v>
      </c>
      <c r="D926" s="7" t="s">
        <v>53</v>
      </c>
      <c r="E926" s="7" t="s">
        <v>81</v>
      </c>
      <c r="F926" s="7" t="s">
        <v>59</v>
      </c>
      <c r="G926" s="7" t="s">
        <v>49</v>
      </c>
      <c r="H926" s="7" t="s">
        <v>60</v>
      </c>
      <c r="I926" s="7">
        <v>3</v>
      </c>
      <c r="J926" s="9">
        <v>1055.43</v>
      </c>
      <c r="K926" s="10">
        <v>9.7299999999999998E-2</v>
      </c>
      <c r="L926" s="9">
        <f t="shared" si="28"/>
        <v>2858.2099830000002</v>
      </c>
      <c r="M926" s="9">
        <f>ROUND(L926*0.7377,2)</f>
        <v>2108.5</v>
      </c>
      <c r="N926" s="9">
        <f t="shared" si="29"/>
        <v>749.70998300000019</v>
      </c>
    </row>
    <row r="927" spans="1:14" x14ac:dyDescent="0.35">
      <c r="A927" s="7" t="s">
        <v>1010</v>
      </c>
      <c r="B927" s="8">
        <v>45962</v>
      </c>
      <c r="C927" s="7" t="s">
        <v>39</v>
      </c>
      <c r="D927" s="7" t="s">
        <v>69</v>
      </c>
      <c r="E927" s="7" t="s">
        <v>70</v>
      </c>
      <c r="F927" s="7" t="s">
        <v>48</v>
      </c>
      <c r="G927" s="7" t="s">
        <v>49</v>
      </c>
      <c r="H927" s="7" t="s">
        <v>60</v>
      </c>
      <c r="I927" s="7">
        <v>3</v>
      </c>
      <c r="J927" s="9">
        <v>149.56</v>
      </c>
      <c r="K927" s="10">
        <v>4.8300000000000003E-2</v>
      </c>
      <c r="L927" s="9">
        <f t="shared" si="28"/>
        <v>427.00875600000001</v>
      </c>
      <c r="M927" s="9">
        <f>ROUND(L927*0.2562,2)</f>
        <v>109.4</v>
      </c>
      <c r="N927" s="9">
        <f t="shared" si="29"/>
        <v>317.60875599999997</v>
      </c>
    </row>
    <row r="928" spans="1:14" x14ac:dyDescent="0.35">
      <c r="A928" s="7" t="s">
        <v>1011</v>
      </c>
      <c r="B928" s="8">
        <v>45963</v>
      </c>
      <c r="C928" s="7" t="s">
        <v>52</v>
      </c>
      <c r="D928" s="7" t="s">
        <v>53</v>
      </c>
      <c r="E928" s="7" t="s">
        <v>105</v>
      </c>
      <c r="F928" s="7" t="s">
        <v>48</v>
      </c>
      <c r="G928" s="7" t="s">
        <v>55</v>
      </c>
      <c r="H928" s="7" t="s">
        <v>56</v>
      </c>
      <c r="I928" s="7">
        <v>1</v>
      </c>
      <c r="J928" s="9">
        <v>443.12</v>
      </c>
      <c r="K928" s="10">
        <v>3.2000000000000001E-2</v>
      </c>
      <c r="L928" s="9">
        <f t="shared" si="28"/>
        <v>428.94015999999999</v>
      </c>
      <c r="M928" s="9">
        <f>ROUND(L928*0.7106,2)</f>
        <v>304.8</v>
      </c>
      <c r="N928" s="9">
        <f t="shared" si="29"/>
        <v>124.14015999999998</v>
      </c>
    </row>
    <row r="929" spans="1:14" x14ac:dyDescent="0.35">
      <c r="A929" s="7" t="s">
        <v>1012</v>
      </c>
      <c r="B929" s="8">
        <v>45963</v>
      </c>
      <c r="C929" s="7" t="s">
        <v>52</v>
      </c>
      <c r="D929" s="7" t="s">
        <v>40</v>
      </c>
      <c r="E929" s="7" t="s">
        <v>47</v>
      </c>
      <c r="F929" s="7" t="s">
        <v>48</v>
      </c>
      <c r="G929" s="7" t="s">
        <v>49</v>
      </c>
      <c r="H929" s="7" t="s">
        <v>71</v>
      </c>
      <c r="I929" s="7">
        <v>2</v>
      </c>
      <c r="J929" s="9">
        <v>241.15</v>
      </c>
      <c r="K929" s="10">
        <v>1.6999999999999999E-3</v>
      </c>
      <c r="L929" s="9">
        <f t="shared" si="28"/>
        <v>481.48009000000002</v>
      </c>
      <c r="M929" s="9">
        <f>ROUND(L929*0.615,2)</f>
        <v>296.11</v>
      </c>
      <c r="N929" s="9">
        <f t="shared" si="29"/>
        <v>185.37009</v>
      </c>
    </row>
    <row r="930" spans="1:14" x14ac:dyDescent="0.35">
      <c r="A930" s="7" t="s">
        <v>1013</v>
      </c>
      <c r="B930" s="8">
        <v>45963</v>
      </c>
      <c r="C930" s="7" t="s">
        <v>46</v>
      </c>
      <c r="D930" s="7" t="s">
        <v>40</v>
      </c>
      <c r="E930" s="7" t="s">
        <v>47</v>
      </c>
      <c r="F930" s="7" t="s">
        <v>48</v>
      </c>
      <c r="G930" s="7" t="s">
        <v>55</v>
      </c>
      <c r="H930" s="7" t="s">
        <v>74</v>
      </c>
      <c r="I930" s="7">
        <v>1</v>
      </c>
      <c r="J930" s="9">
        <v>252.04</v>
      </c>
      <c r="K930" s="10">
        <v>4.4600000000000001E-2</v>
      </c>
      <c r="L930" s="9">
        <f t="shared" si="28"/>
        <v>240.79901599999999</v>
      </c>
      <c r="M930" s="9">
        <f>ROUND(L930*0.6515,2)</f>
        <v>156.88</v>
      </c>
      <c r="N930" s="9">
        <f t="shared" si="29"/>
        <v>83.919015999999999</v>
      </c>
    </row>
    <row r="931" spans="1:14" x14ac:dyDescent="0.35">
      <c r="A931" s="7" t="s">
        <v>1014</v>
      </c>
      <c r="B931" s="8">
        <v>45963</v>
      </c>
      <c r="C931" s="7" t="s">
        <v>52</v>
      </c>
      <c r="D931" s="7" t="s">
        <v>69</v>
      </c>
      <c r="E931" s="7" t="s">
        <v>107</v>
      </c>
      <c r="F931" s="7" t="s">
        <v>59</v>
      </c>
      <c r="G931" s="7" t="s">
        <v>43</v>
      </c>
      <c r="H931" s="7" t="s">
        <v>64</v>
      </c>
      <c r="I931" s="7">
        <v>5</v>
      </c>
      <c r="J931" s="9">
        <v>56.72</v>
      </c>
      <c r="K931" s="10">
        <v>0.12330000000000001</v>
      </c>
      <c r="L931" s="9">
        <f t="shared" si="28"/>
        <v>248.63212000000004</v>
      </c>
      <c r="M931" s="9">
        <f>ROUND(L931*0.2509,2)</f>
        <v>62.38</v>
      </c>
      <c r="N931" s="9">
        <f t="shared" si="29"/>
        <v>186.25212000000005</v>
      </c>
    </row>
    <row r="932" spans="1:14" x14ac:dyDescent="0.35">
      <c r="A932" s="7" t="s">
        <v>1015</v>
      </c>
      <c r="B932" s="8">
        <v>45963</v>
      </c>
      <c r="C932" s="7" t="s">
        <v>46</v>
      </c>
      <c r="D932" s="7" t="s">
        <v>40</v>
      </c>
      <c r="E932" s="7" t="s">
        <v>139</v>
      </c>
      <c r="F932" s="7" t="s">
        <v>48</v>
      </c>
      <c r="G932" s="7" t="s">
        <v>49</v>
      </c>
      <c r="H932" s="7" t="s">
        <v>95</v>
      </c>
      <c r="I932" s="7">
        <v>2</v>
      </c>
      <c r="J932" s="9">
        <v>331.17</v>
      </c>
      <c r="K932" s="10">
        <v>7.5999999999999998E-2</v>
      </c>
      <c r="L932" s="9">
        <f t="shared" si="28"/>
        <v>612.00216</v>
      </c>
      <c r="M932" s="9">
        <f>ROUND(L932*0.6687,2)</f>
        <v>409.25</v>
      </c>
      <c r="N932" s="9">
        <f t="shared" si="29"/>
        <v>202.75216</v>
      </c>
    </row>
    <row r="933" spans="1:14" x14ac:dyDescent="0.35">
      <c r="A933" s="7" t="s">
        <v>1016</v>
      </c>
      <c r="B933" s="8">
        <v>45964</v>
      </c>
      <c r="C933" s="7" t="s">
        <v>46</v>
      </c>
      <c r="D933" s="7" t="s">
        <v>40</v>
      </c>
      <c r="E933" s="7" t="s">
        <v>91</v>
      </c>
      <c r="F933" s="7" t="s">
        <v>42</v>
      </c>
      <c r="G933" s="7" t="s">
        <v>49</v>
      </c>
      <c r="H933" s="7" t="s">
        <v>95</v>
      </c>
      <c r="I933" s="7">
        <v>17</v>
      </c>
      <c r="J933" s="9">
        <v>127.83</v>
      </c>
      <c r="K933" s="10">
        <v>0.12520000000000001</v>
      </c>
      <c r="L933" s="9">
        <f t="shared" si="28"/>
        <v>1901.0366280000001</v>
      </c>
      <c r="M933" s="9">
        <f>ROUND(L933*0.6382,2)</f>
        <v>1213.24</v>
      </c>
      <c r="N933" s="9">
        <f t="shared" si="29"/>
        <v>687.79662800000006</v>
      </c>
    </row>
    <row r="934" spans="1:14" x14ac:dyDescent="0.35">
      <c r="A934" s="7" t="s">
        <v>1017</v>
      </c>
      <c r="B934" s="8">
        <v>45964</v>
      </c>
      <c r="C934" s="7" t="s">
        <v>52</v>
      </c>
      <c r="D934" s="7" t="s">
        <v>53</v>
      </c>
      <c r="E934" s="7" t="s">
        <v>54</v>
      </c>
      <c r="F934" s="7" t="s">
        <v>48</v>
      </c>
      <c r="G934" s="7" t="s">
        <v>55</v>
      </c>
      <c r="H934" s="7" t="s">
        <v>56</v>
      </c>
      <c r="I934" s="7">
        <v>1</v>
      </c>
      <c r="J934" s="9">
        <v>1308.03</v>
      </c>
      <c r="K934" s="10">
        <v>5.0299999999999997E-2</v>
      </c>
      <c r="L934" s="9">
        <f t="shared" si="28"/>
        <v>1242.236091</v>
      </c>
      <c r="M934" s="9">
        <f>ROUND(L934*0.7088,2)</f>
        <v>880.5</v>
      </c>
      <c r="N934" s="9">
        <f t="shared" si="29"/>
        <v>361.73609099999999</v>
      </c>
    </row>
    <row r="935" spans="1:14" x14ac:dyDescent="0.35">
      <c r="A935" s="7" t="s">
        <v>1018</v>
      </c>
      <c r="B935" s="8">
        <v>45964</v>
      </c>
      <c r="C935" s="7" t="s">
        <v>39</v>
      </c>
      <c r="D935" s="7" t="s">
        <v>53</v>
      </c>
      <c r="E935" s="7" t="s">
        <v>58</v>
      </c>
      <c r="F935" s="7" t="s">
        <v>48</v>
      </c>
      <c r="G935" s="7" t="s">
        <v>55</v>
      </c>
      <c r="H935" s="7" t="s">
        <v>108</v>
      </c>
      <c r="I935" s="7">
        <v>1</v>
      </c>
      <c r="J935" s="9">
        <v>675.77</v>
      </c>
      <c r="K935" s="10">
        <v>2.3900000000000001E-2</v>
      </c>
      <c r="L935" s="9">
        <f t="shared" si="28"/>
        <v>659.61909700000001</v>
      </c>
      <c r="M935" s="9">
        <f>ROUND(L935*0.7358,2)</f>
        <v>485.35</v>
      </c>
      <c r="N935" s="9">
        <f t="shared" si="29"/>
        <v>174.26909699999999</v>
      </c>
    </row>
    <row r="936" spans="1:14" x14ac:dyDescent="0.35">
      <c r="A936" s="7" t="s">
        <v>1019</v>
      </c>
      <c r="B936" s="8">
        <v>45964</v>
      </c>
      <c r="C936" s="7" t="s">
        <v>52</v>
      </c>
      <c r="D936" s="7" t="s">
        <v>53</v>
      </c>
      <c r="E936" s="7" t="s">
        <v>81</v>
      </c>
      <c r="F936" s="7" t="s">
        <v>59</v>
      </c>
      <c r="G936" s="7" t="s">
        <v>43</v>
      </c>
      <c r="H936" s="7" t="s">
        <v>64</v>
      </c>
      <c r="I936" s="7">
        <v>6</v>
      </c>
      <c r="J936" s="9">
        <v>1050.56</v>
      </c>
      <c r="K936" s="10">
        <v>0.15040000000000001</v>
      </c>
      <c r="L936" s="9">
        <f t="shared" si="28"/>
        <v>5355.334656</v>
      </c>
      <c r="M936" s="9">
        <f>ROUND(L936*0.6859,2)</f>
        <v>3673.22</v>
      </c>
      <c r="N936" s="9">
        <f t="shared" si="29"/>
        <v>1682.1146560000002</v>
      </c>
    </row>
    <row r="937" spans="1:14" x14ac:dyDescent="0.35">
      <c r="A937" s="7" t="s">
        <v>1020</v>
      </c>
      <c r="B937" s="8">
        <v>45964</v>
      </c>
      <c r="C937" s="7" t="s">
        <v>76</v>
      </c>
      <c r="D937" s="7" t="s">
        <v>53</v>
      </c>
      <c r="E937" s="7" t="s">
        <v>87</v>
      </c>
      <c r="F937" s="7" t="s">
        <v>48</v>
      </c>
      <c r="G937" s="7" t="s">
        <v>55</v>
      </c>
      <c r="H937" s="7" t="s">
        <v>78</v>
      </c>
      <c r="I937" s="7">
        <v>1</v>
      </c>
      <c r="J937" s="9">
        <v>885.15</v>
      </c>
      <c r="K937" s="10">
        <v>7.4800000000000005E-2</v>
      </c>
      <c r="L937" s="9">
        <f t="shared" si="28"/>
        <v>818.94078000000002</v>
      </c>
      <c r="M937" s="9">
        <f>ROUND(L937*0.6946,2)</f>
        <v>568.84</v>
      </c>
      <c r="N937" s="9">
        <f t="shared" si="29"/>
        <v>250.10077999999999</v>
      </c>
    </row>
    <row r="938" spans="1:14" x14ac:dyDescent="0.35">
      <c r="A938" s="7" t="s">
        <v>1021</v>
      </c>
      <c r="B938" s="8">
        <v>45965</v>
      </c>
      <c r="C938" s="7" t="s">
        <v>39</v>
      </c>
      <c r="D938" s="7" t="s">
        <v>69</v>
      </c>
      <c r="E938" s="7" t="s">
        <v>119</v>
      </c>
      <c r="F938" s="7" t="s">
        <v>59</v>
      </c>
      <c r="G938" s="7" t="s">
        <v>49</v>
      </c>
      <c r="H938" s="7" t="s">
        <v>60</v>
      </c>
      <c r="I938" s="7">
        <v>5</v>
      </c>
      <c r="J938" s="9">
        <v>197.8</v>
      </c>
      <c r="K938" s="10">
        <v>0.13070000000000001</v>
      </c>
      <c r="L938" s="9">
        <f t="shared" si="28"/>
        <v>859.73770000000002</v>
      </c>
      <c r="M938" s="9">
        <f>ROUND(L938*0.269,2)</f>
        <v>231.27</v>
      </c>
      <c r="N938" s="9">
        <f t="shared" si="29"/>
        <v>628.46770000000004</v>
      </c>
    </row>
    <row r="939" spans="1:14" x14ac:dyDescent="0.35">
      <c r="A939" s="7" t="s">
        <v>1022</v>
      </c>
      <c r="B939" s="8">
        <v>45965</v>
      </c>
      <c r="C939" s="7" t="s">
        <v>46</v>
      </c>
      <c r="D939" s="7" t="s">
        <v>69</v>
      </c>
      <c r="E939" s="7" t="s">
        <v>70</v>
      </c>
      <c r="F939" s="7" t="s">
        <v>48</v>
      </c>
      <c r="G939" s="7" t="s">
        <v>49</v>
      </c>
      <c r="H939" s="7" t="s">
        <v>95</v>
      </c>
      <c r="I939" s="7">
        <v>3</v>
      </c>
      <c r="J939" s="9">
        <v>138.77000000000001</v>
      </c>
      <c r="K939" s="10">
        <v>3.4799999999999998E-2</v>
      </c>
      <c r="L939" s="9">
        <f t="shared" si="28"/>
        <v>401.8224120000001</v>
      </c>
      <c r="M939" s="9">
        <f>ROUND(L939*0.2421,2)</f>
        <v>97.28</v>
      </c>
      <c r="N939" s="9">
        <f t="shared" si="29"/>
        <v>304.54241200000013</v>
      </c>
    </row>
    <row r="940" spans="1:14" x14ac:dyDescent="0.35">
      <c r="A940" s="7" t="s">
        <v>1023</v>
      </c>
      <c r="B940" s="8">
        <v>45966</v>
      </c>
      <c r="C940" s="7" t="s">
        <v>39</v>
      </c>
      <c r="D940" s="7" t="s">
        <v>66</v>
      </c>
      <c r="E940" s="7" t="s">
        <v>73</v>
      </c>
      <c r="F940" s="7" t="s">
        <v>42</v>
      </c>
      <c r="G940" s="7" t="s">
        <v>55</v>
      </c>
      <c r="H940" s="7" t="s">
        <v>108</v>
      </c>
      <c r="I940" s="7">
        <v>20</v>
      </c>
      <c r="J940" s="9">
        <v>39.75</v>
      </c>
      <c r="K940" s="10">
        <v>0.104</v>
      </c>
      <c r="L940" s="9">
        <f t="shared" si="28"/>
        <v>712.32</v>
      </c>
      <c r="M940" s="9">
        <f>ROUND(L940*0.5911,2)</f>
        <v>421.05</v>
      </c>
      <c r="N940" s="9">
        <f t="shared" si="29"/>
        <v>291.27000000000004</v>
      </c>
    </row>
    <row r="941" spans="1:14" x14ac:dyDescent="0.35">
      <c r="A941" s="7" t="s">
        <v>1024</v>
      </c>
      <c r="B941" s="8">
        <v>45966</v>
      </c>
      <c r="C941" s="7" t="s">
        <v>39</v>
      </c>
      <c r="D941" s="7" t="s">
        <v>40</v>
      </c>
      <c r="E941" s="7" t="s">
        <v>41</v>
      </c>
      <c r="F941" s="7" t="s">
        <v>42</v>
      </c>
      <c r="G941" s="7" t="s">
        <v>55</v>
      </c>
      <c r="H941" s="7" t="s">
        <v>108</v>
      </c>
      <c r="I941" s="7">
        <v>30</v>
      </c>
      <c r="J941" s="9">
        <v>393.23</v>
      </c>
      <c r="K941" s="10">
        <v>5.3600000000000002E-2</v>
      </c>
      <c r="L941" s="9">
        <f t="shared" si="28"/>
        <v>11164.586160000001</v>
      </c>
      <c r="M941" s="9">
        <f>ROUND(L941*0.6516,2)</f>
        <v>7274.84</v>
      </c>
      <c r="N941" s="9">
        <f t="shared" si="29"/>
        <v>3889.7461600000006</v>
      </c>
    </row>
    <row r="942" spans="1:14" x14ac:dyDescent="0.35">
      <c r="A942" s="7" t="s">
        <v>1025</v>
      </c>
      <c r="B942" s="8">
        <v>45966</v>
      </c>
      <c r="C942" s="7" t="s">
        <v>76</v>
      </c>
      <c r="D942" s="7" t="s">
        <v>66</v>
      </c>
      <c r="E942" s="7" t="s">
        <v>73</v>
      </c>
      <c r="F942" s="7" t="s">
        <v>59</v>
      </c>
      <c r="G942" s="7" t="s">
        <v>55</v>
      </c>
      <c r="H942" s="7" t="s">
        <v>78</v>
      </c>
      <c r="I942" s="7">
        <v>6</v>
      </c>
      <c r="J942" s="9">
        <v>39.11</v>
      </c>
      <c r="K942" s="10">
        <v>6.0400000000000002E-2</v>
      </c>
      <c r="L942" s="9">
        <f t="shared" si="28"/>
        <v>220.486536</v>
      </c>
      <c r="M942" s="9">
        <f>ROUND(L942*0.5708,2)</f>
        <v>125.85</v>
      </c>
      <c r="N942" s="9">
        <f t="shared" si="29"/>
        <v>94.636536000000007</v>
      </c>
    </row>
    <row r="943" spans="1:14" x14ac:dyDescent="0.35">
      <c r="A943" s="7" t="s">
        <v>1026</v>
      </c>
      <c r="B943" s="8">
        <v>45966</v>
      </c>
      <c r="C943" s="7" t="s">
        <v>52</v>
      </c>
      <c r="D943" s="7" t="s">
        <v>66</v>
      </c>
      <c r="E943" s="7" t="s">
        <v>137</v>
      </c>
      <c r="F943" s="7" t="s">
        <v>42</v>
      </c>
      <c r="G943" s="7" t="s">
        <v>43</v>
      </c>
      <c r="H943" s="7" t="s">
        <v>71</v>
      </c>
      <c r="I943" s="7">
        <v>10</v>
      </c>
      <c r="J943" s="9">
        <v>151.18</v>
      </c>
      <c r="K943" s="10">
        <v>0.2273</v>
      </c>
      <c r="L943" s="9">
        <f t="shared" si="28"/>
        <v>1168.16786</v>
      </c>
      <c r="M943" s="9">
        <f>ROUND(L943*0.5681,2)</f>
        <v>663.64</v>
      </c>
      <c r="N943" s="9">
        <f t="shared" si="29"/>
        <v>504.52786000000003</v>
      </c>
    </row>
    <row r="944" spans="1:14" x14ac:dyDescent="0.35">
      <c r="A944" s="7" t="s">
        <v>1027</v>
      </c>
      <c r="B944" s="8">
        <v>45966</v>
      </c>
      <c r="C944" s="7" t="s">
        <v>39</v>
      </c>
      <c r="D944" s="7" t="s">
        <v>66</v>
      </c>
      <c r="E944" s="7" t="s">
        <v>98</v>
      </c>
      <c r="F944" s="7" t="s">
        <v>48</v>
      </c>
      <c r="G944" s="7" t="s">
        <v>55</v>
      </c>
      <c r="H944" s="7" t="s">
        <v>108</v>
      </c>
      <c r="I944" s="7">
        <v>1</v>
      </c>
      <c r="J944" s="9">
        <v>28.83</v>
      </c>
      <c r="K944" s="10">
        <v>3.61E-2</v>
      </c>
      <c r="L944" s="9">
        <f t="shared" si="28"/>
        <v>27.789236999999996</v>
      </c>
      <c r="M944" s="9">
        <f>ROUND(L944*0.5555,2)</f>
        <v>15.44</v>
      </c>
      <c r="N944" s="9">
        <f t="shared" si="29"/>
        <v>12.349236999999997</v>
      </c>
    </row>
    <row r="945" spans="1:14" x14ac:dyDescent="0.35">
      <c r="A945" s="7" t="s">
        <v>1028</v>
      </c>
      <c r="B945" s="8">
        <v>45966</v>
      </c>
      <c r="C945" s="7" t="s">
        <v>52</v>
      </c>
      <c r="D945" s="7" t="s">
        <v>69</v>
      </c>
      <c r="E945" s="7" t="s">
        <v>70</v>
      </c>
      <c r="F945" s="7" t="s">
        <v>59</v>
      </c>
      <c r="G945" s="7" t="s">
        <v>55</v>
      </c>
      <c r="H945" s="7" t="s">
        <v>56</v>
      </c>
      <c r="I945" s="7">
        <v>6</v>
      </c>
      <c r="J945" s="9">
        <v>150.09</v>
      </c>
      <c r="K945" s="10">
        <v>5.91E-2</v>
      </c>
      <c r="L945" s="9">
        <f t="shared" si="28"/>
        <v>847.31808599999988</v>
      </c>
      <c r="M945" s="9">
        <f>ROUND(L945*0.2537,2)</f>
        <v>214.96</v>
      </c>
      <c r="N945" s="9">
        <f t="shared" si="29"/>
        <v>632.35808599999984</v>
      </c>
    </row>
    <row r="946" spans="1:14" x14ac:dyDescent="0.35">
      <c r="A946" s="7" t="s">
        <v>1029</v>
      </c>
      <c r="B946" s="8">
        <v>45966</v>
      </c>
      <c r="C946" s="7" t="s">
        <v>52</v>
      </c>
      <c r="D946" s="7" t="s">
        <v>69</v>
      </c>
      <c r="E946" s="7" t="s">
        <v>70</v>
      </c>
      <c r="F946" s="7" t="s">
        <v>48</v>
      </c>
      <c r="G946" s="7" t="s">
        <v>55</v>
      </c>
      <c r="H946" s="7" t="s">
        <v>56</v>
      </c>
      <c r="I946" s="7">
        <v>1</v>
      </c>
      <c r="J946" s="9">
        <v>151.66999999999999</v>
      </c>
      <c r="K946" s="10">
        <v>3.5400000000000001E-2</v>
      </c>
      <c r="L946" s="9">
        <f t="shared" si="28"/>
        <v>146.300882</v>
      </c>
      <c r="M946" s="9">
        <f>ROUND(L946*0.255,2)</f>
        <v>37.31</v>
      </c>
      <c r="N946" s="9">
        <f t="shared" si="29"/>
        <v>108.990882</v>
      </c>
    </row>
    <row r="947" spans="1:14" x14ac:dyDescent="0.35">
      <c r="A947" s="7" t="s">
        <v>1030</v>
      </c>
      <c r="B947" s="8">
        <v>45966</v>
      </c>
      <c r="C947" s="7" t="s">
        <v>46</v>
      </c>
      <c r="D947" s="7" t="s">
        <v>66</v>
      </c>
      <c r="E947" s="7" t="s">
        <v>77</v>
      </c>
      <c r="F947" s="7" t="s">
        <v>59</v>
      </c>
      <c r="G947" s="7" t="s">
        <v>55</v>
      </c>
      <c r="H947" s="7" t="s">
        <v>74</v>
      </c>
      <c r="I947" s="7">
        <v>8</v>
      </c>
      <c r="J947" s="9">
        <v>96.93</v>
      </c>
      <c r="K947" s="10">
        <v>8.0699999999999994E-2</v>
      </c>
      <c r="L947" s="9">
        <f t="shared" si="28"/>
        <v>712.8619920000001</v>
      </c>
      <c r="M947" s="9">
        <f>ROUND(L947*0.5851,2)</f>
        <v>417.1</v>
      </c>
      <c r="N947" s="9">
        <f t="shared" si="29"/>
        <v>295.76199200000008</v>
      </c>
    </row>
    <row r="948" spans="1:14" x14ac:dyDescent="0.35">
      <c r="A948" s="7" t="s">
        <v>1031</v>
      </c>
      <c r="B948" s="8">
        <v>45966</v>
      </c>
      <c r="C948" s="7" t="s">
        <v>39</v>
      </c>
      <c r="D948" s="7" t="s">
        <v>53</v>
      </c>
      <c r="E948" s="7" t="s">
        <v>58</v>
      </c>
      <c r="F948" s="7" t="s">
        <v>42</v>
      </c>
      <c r="G948" s="7" t="s">
        <v>43</v>
      </c>
      <c r="H948" s="7" t="s">
        <v>44</v>
      </c>
      <c r="I948" s="7">
        <v>34</v>
      </c>
      <c r="J948" s="9">
        <v>697.22</v>
      </c>
      <c r="K948" s="10">
        <v>0.16980000000000001</v>
      </c>
      <c r="L948" s="9">
        <f t="shared" si="28"/>
        <v>19680.289496000001</v>
      </c>
      <c r="M948" s="9">
        <f>ROUND(L948*0.7187,2)</f>
        <v>14144.22</v>
      </c>
      <c r="N948" s="9">
        <f t="shared" si="29"/>
        <v>5536.0694960000019</v>
      </c>
    </row>
    <row r="949" spans="1:14" x14ac:dyDescent="0.35">
      <c r="A949" s="7" t="s">
        <v>1032</v>
      </c>
      <c r="B949" s="8">
        <v>45967</v>
      </c>
      <c r="C949" s="7" t="s">
        <v>52</v>
      </c>
      <c r="D949" s="7" t="s">
        <v>69</v>
      </c>
      <c r="E949" s="7" t="s">
        <v>132</v>
      </c>
      <c r="F949" s="7" t="s">
        <v>48</v>
      </c>
      <c r="G949" s="7" t="s">
        <v>55</v>
      </c>
      <c r="H949" s="7" t="s">
        <v>56</v>
      </c>
      <c r="I949" s="7">
        <v>2</v>
      </c>
      <c r="J949" s="9">
        <v>78.819999999999993</v>
      </c>
      <c r="K949" s="10">
        <v>4.0800000000000003E-2</v>
      </c>
      <c r="L949" s="9">
        <f t="shared" si="28"/>
        <v>151.20828799999998</v>
      </c>
      <c r="M949" s="9">
        <f>ROUND(L949*0.216,2)</f>
        <v>32.659999999999997</v>
      </c>
      <c r="N949" s="9">
        <f t="shared" si="29"/>
        <v>118.54828799999999</v>
      </c>
    </row>
    <row r="950" spans="1:14" x14ac:dyDescent="0.35">
      <c r="A950" s="7" t="s">
        <v>1033</v>
      </c>
      <c r="B950" s="8">
        <v>45967</v>
      </c>
      <c r="C950" s="7" t="s">
        <v>39</v>
      </c>
      <c r="D950" s="7" t="s">
        <v>40</v>
      </c>
      <c r="E950" s="7" t="s">
        <v>139</v>
      </c>
      <c r="F950" s="7" t="s">
        <v>59</v>
      </c>
      <c r="G950" s="7" t="s">
        <v>55</v>
      </c>
      <c r="H950" s="7" t="s">
        <v>108</v>
      </c>
      <c r="I950" s="7">
        <v>6</v>
      </c>
      <c r="J950" s="9">
        <v>318.75</v>
      </c>
      <c r="K950" s="10">
        <v>3.73E-2</v>
      </c>
      <c r="L950" s="9">
        <f t="shared" si="28"/>
        <v>1841.1637499999999</v>
      </c>
      <c r="M950" s="9">
        <f>ROUND(L950*0.618,2)</f>
        <v>1137.8399999999999</v>
      </c>
      <c r="N950" s="9">
        <f t="shared" si="29"/>
        <v>703.32375000000002</v>
      </c>
    </row>
    <row r="951" spans="1:14" x14ac:dyDescent="0.35">
      <c r="A951" s="7" t="s">
        <v>1034</v>
      </c>
      <c r="B951" s="8">
        <v>45967</v>
      </c>
      <c r="C951" s="7" t="s">
        <v>46</v>
      </c>
      <c r="D951" s="7" t="s">
        <v>66</v>
      </c>
      <c r="E951" s="7" t="s">
        <v>137</v>
      </c>
      <c r="F951" s="7" t="s">
        <v>48</v>
      </c>
      <c r="G951" s="7" t="s">
        <v>55</v>
      </c>
      <c r="H951" s="7" t="s">
        <v>74</v>
      </c>
      <c r="I951" s="7">
        <v>1</v>
      </c>
      <c r="J951" s="9">
        <v>161.15</v>
      </c>
      <c r="K951" s="10">
        <v>4.3900000000000002E-2</v>
      </c>
      <c r="L951" s="9">
        <f t="shared" si="28"/>
        <v>154.075515</v>
      </c>
      <c r="M951" s="9">
        <f>ROUND(L951*0.5962,2)</f>
        <v>91.86</v>
      </c>
      <c r="N951" s="9">
        <f t="shared" si="29"/>
        <v>62.215514999999996</v>
      </c>
    </row>
    <row r="952" spans="1:14" x14ac:dyDescent="0.35">
      <c r="A952" s="7" t="s">
        <v>1035</v>
      </c>
      <c r="B952" s="8">
        <v>45967</v>
      </c>
      <c r="C952" s="7" t="s">
        <v>39</v>
      </c>
      <c r="D952" s="7" t="s">
        <v>53</v>
      </c>
      <c r="E952" s="7" t="s">
        <v>54</v>
      </c>
      <c r="F952" s="7" t="s">
        <v>59</v>
      </c>
      <c r="G952" s="7" t="s">
        <v>49</v>
      </c>
      <c r="H952" s="7" t="s">
        <v>44</v>
      </c>
      <c r="I952" s="7">
        <v>7</v>
      </c>
      <c r="J952" s="9">
        <v>1240.21</v>
      </c>
      <c r="K952" s="10">
        <v>0.1057</v>
      </c>
      <c r="L952" s="9">
        <f t="shared" si="28"/>
        <v>7763.8386210000008</v>
      </c>
      <c r="M952" s="9">
        <f>ROUND(L952*0.7225,2)</f>
        <v>5609.37</v>
      </c>
      <c r="N952" s="9">
        <f t="shared" si="29"/>
        <v>2154.4686210000009</v>
      </c>
    </row>
    <row r="953" spans="1:14" x14ac:dyDescent="0.35">
      <c r="A953" s="7" t="s">
        <v>1036</v>
      </c>
      <c r="B953" s="8">
        <v>45968</v>
      </c>
      <c r="C953" s="7" t="s">
        <v>39</v>
      </c>
      <c r="D953" s="7" t="s">
        <v>53</v>
      </c>
      <c r="E953" s="7" t="s">
        <v>81</v>
      </c>
      <c r="F953" s="7" t="s">
        <v>59</v>
      </c>
      <c r="G953" s="7" t="s">
        <v>55</v>
      </c>
      <c r="H953" s="7" t="s">
        <v>108</v>
      </c>
      <c r="I953" s="7">
        <v>9</v>
      </c>
      <c r="J953" s="9">
        <v>1088.25</v>
      </c>
      <c r="K953" s="10">
        <v>4.65E-2</v>
      </c>
      <c r="L953" s="9">
        <f t="shared" si="28"/>
        <v>9338.8173750000005</v>
      </c>
      <c r="M953" s="9">
        <f>ROUND(L953*0.7054,2)</f>
        <v>6587.6</v>
      </c>
      <c r="N953" s="9">
        <f t="shared" si="29"/>
        <v>2751.2173750000002</v>
      </c>
    </row>
    <row r="954" spans="1:14" x14ac:dyDescent="0.35">
      <c r="A954" s="7" t="s">
        <v>1037</v>
      </c>
      <c r="B954" s="8">
        <v>45968</v>
      </c>
      <c r="C954" s="7" t="s">
        <v>52</v>
      </c>
      <c r="D954" s="7" t="s">
        <v>53</v>
      </c>
      <c r="E954" s="7" t="s">
        <v>58</v>
      </c>
      <c r="F954" s="7" t="s">
        <v>48</v>
      </c>
      <c r="G954" s="7" t="s">
        <v>49</v>
      </c>
      <c r="H954" s="7" t="s">
        <v>71</v>
      </c>
      <c r="I954" s="7">
        <v>2</v>
      </c>
      <c r="J954" s="9">
        <v>653.29</v>
      </c>
      <c r="K954" s="10">
        <v>1.7299999999999999E-2</v>
      </c>
      <c r="L954" s="9">
        <f t="shared" si="28"/>
        <v>1283.9761659999999</v>
      </c>
      <c r="M954" s="9">
        <f>ROUND(L954*0.7047,2)</f>
        <v>904.82</v>
      </c>
      <c r="N954" s="9">
        <f t="shared" si="29"/>
        <v>379.15616599999987</v>
      </c>
    </row>
    <row r="955" spans="1:14" x14ac:dyDescent="0.35">
      <c r="A955" s="7" t="s">
        <v>1038</v>
      </c>
      <c r="B955" s="8">
        <v>45969</v>
      </c>
      <c r="C955" s="7" t="s">
        <v>46</v>
      </c>
      <c r="D955" s="7" t="s">
        <v>53</v>
      </c>
      <c r="E955" s="7" t="s">
        <v>87</v>
      </c>
      <c r="F955" s="7" t="s">
        <v>42</v>
      </c>
      <c r="G955" s="7" t="s">
        <v>43</v>
      </c>
      <c r="H955" s="7" t="s">
        <v>50</v>
      </c>
      <c r="I955" s="7">
        <v>29</v>
      </c>
      <c r="J955" s="9">
        <v>902.61</v>
      </c>
      <c r="K955" s="10">
        <v>0.1258</v>
      </c>
      <c r="L955" s="9">
        <f t="shared" si="28"/>
        <v>22882.788197999998</v>
      </c>
      <c r="M955" s="9">
        <f>ROUND(L955*0.7322,2)</f>
        <v>16754.78</v>
      </c>
      <c r="N955" s="9">
        <f t="shared" si="29"/>
        <v>6128.0081979999995</v>
      </c>
    </row>
    <row r="956" spans="1:14" x14ac:dyDescent="0.35">
      <c r="A956" s="7" t="s">
        <v>1039</v>
      </c>
      <c r="B956" s="8">
        <v>45969</v>
      </c>
      <c r="C956" s="7" t="s">
        <v>46</v>
      </c>
      <c r="D956" s="7" t="s">
        <v>66</v>
      </c>
      <c r="E956" s="7" t="s">
        <v>98</v>
      </c>
      <c r="F956" s="7" t="s">
        <v>59</v>
      </c>
      <c r="G956" s="7" t="s">
        <v>49</v>
      </c>
      <c r="H956" s="7" t="s">
        <v>50</v>
      </c>
      <c r="I956" s="7">
        <v>5</v>
      </c>
      <c r="J956" s="9">
        <v>27.43</v>
      </c>
      <c r="K956" s="10">
        <v>9.8299999999999998E-2</v>
      </c>
      <c r="L956" s="9">
        <f t="shared" si="28"/>
        <v>123.668155</v>
      </c>
      <c r="M956" s="9">
        <f>ROUND(L956*0.5877,2)</f>
        <v>72.680000000000007</v>
      </c>
      <c r="N956" s="9">
        <f t="shared" si="29"/>
        <v>50.988154999999992</v>
      </c>
    </row>
    <row r="957" spans="1:14" x14ac:dyDescent="0.35">
      <c r="A957" s="7" t="s">
        <v>1040</v>
      </c>
      <c r="B957" s="8">
        <v>45970</v>
      </c>
      <c r="C957" s="7" t="s">
        <v>52</v>
      </c>
      <c r="D957" s="7" t="s">
        <v>66</v>
      </c>
      <c r="E957" s="7" t="s">
        <v>98</v>
      </c>
      <c r="F957" s="7" t="s">
        <v>42</v>
      </c>
      <c r="G957" s="7" t="s">
        <v>43</v>
      </c>
      <c r="H957" s="7" t="s">
        <v>71</v>
      </c>
      <c r="I957" s="7">
        <v>12</v>
      </c>
      <c r="J957" s="9">
        <v>29.08</v>
      </c>
      <c r="K957" s="10">
        <v>0.15609999999999999</v>
      </c>
      <c r="L957" s="9">
        <f t="shared" si="28"/>
        <v>294.48734399999995</v>
      </c>
      <c r="M957" s="9">
        <f>ROUND(L957*0.6087,2)</f>
        <v>179.25</v>
      </c>
      <c r="N957" s="9">
        <f t="shared" si="29"/>
        <v>115.23734399999995</v>
      </c>
    </row>
    <row r="958" spans="1:14" x14ac:dyDescent="0.35">
      <c r="A958" s="7" t="s">
        <v>1041</v>
      </c>
      <c r="B958" s="8">
        <v>45970</v>
      </c>
      <c r="C958" s="7" t="s">
        <v>76</v>
      </c>
      <c r="D958" s="7" t="s">
        <v>40</v>
      </c>
      <c r="E958" s="7" t="s">
        <v>41</v>
      </c>
      <c r="F958" s="7" t="s">
        <v>42</v>
      </c>
      <c r="G958" s="7" t="s">
        <v>49</v>
      </c>
      <c r="H958" s="7" t="s">
        <v>110</v>
      </c>
      <c r="I958" s="7">
        <v>39</v>
      </c>
      <c r="J958" s="9">
        <v>374.35</v>
      </c>
      <c r="K958" s="10">
        <v>0.1336</v>
      </c>
      <c r="L958" s="9">
        <f t="shared" si="28"/>
        <v>12649.136760000001</v>
      </c>
      <c r="M958" s="9">
        <f>ROUND(L958*0.6623,2)</f>
        <v>8377.52</v>
      </c>
      <c r="N958" s="9">
        <f t="shared" si="29"/>
        <v>4271.6167600000008</v>
      </c>
    </row>
    <row r="959" spans="1:14" x14ac:dyDescent="0.35">
      <c r="A959" s="7" t="s">
        <v>1042</v>
      </c>
      <c r="B959" s="8">
        <v>45970</v>
      </c>
      <c r="C959" s="7" t="s">
        <v>46</v>
      </c>
      <c r="D959" s="7" t="s">
        <v>69</v>
      </c>
      <c r="E959" s="7" t="s">
        <v>70</v>
      </c>
      <c r="F959" s="7" t="s">
        <v>42</v>
      </c>
      <c r="G959" s="7" t="s">
        <v>43</v>
      </c>
      <c r="H959" s="7" t="s">
        <v>95</v>
      </c>
      <c r="I959" s="7">
        <v>31</v>
      </c>
      <c r="J959" s="9">
        <v>148.13999999999999</v>
      </c>
      <c r="K959" s="10">
        <v>0.15290000000000001</v>
      </c>
      <c r="L959" s="9">
        <f t="shared" si="28"/>
        <v>3890.1712139999991</v>
      </c>
      <c r="M959" s="9">
        <f>ROUND(L959*0.2289,2)</f>
        <v>890.46</v>
      </c>
      <c r="N959" s="9">
        <f t="shared" si="29"/>
        <v>2999.711213999999</v>
      </c>
    </row>
    <row r="960" spans="1:14" x14ac:dyDescent="0.35">
      <c r="A960" s="7" t="s">
        <v>1043</v>
      </c>
      <c r="B960" s="8">
        <v>45970</v>
      </c>
      <c r="C960" s="7" t="s">
        <v>39</v>
      </c>
      <c r="D960" s="7" t="s">
        <v>40</v>
      </c>
      <c r="E960" s="7" t="s">
        <v>91</v>
      </c>
      <c r="F960" s="7" t="s">
        <v>48</v>
      </c>
      <c r="G960" s="7" t="s">
        <v>55</v>
      </c>
      <c r="H960" s="7" t="s">
        <v>108</v>
      </c>
      <c r="I960" s="7">
        <v>1</v>
      </c>
      <c r="J960" s="9">
        <v>129.44</v>
      </c>
      <c r="K960" s="10">
        <v>2.2800000000000001E-2</v>
      </c>
      <c r="L960" s="9">
        <f t="shared" si="28"/>
        <v>126.48876799999999</v>
      </c>
      <c r="M960" s="9">
        <f>ROUND(L960*0.6612,2)</f>
        <v>83.63</v>
      </c>
      <c r="N960" s="9">
        <f t="shared" si="29"/>
        <v>42.858767999999998</v>
      </c>
    </row>
    <row r="961" spans="1:14" x14ac:dyDescent="0.35">
      <c r="A961" s="7" t="s">
        <v>1044</v>
      </c>
      <c r="B961" s="8">
        <v>45970</v>
      </c>
      <c r="C961" s="7" t="s">
        <v>39</v>
      </c>
      <c r="D961" s="7" t="s">
        <v>53</v>
      </c>
      <c r="E961" s="7" t="s">
        <v>58</v>
      </c>
      <c r="F961" s="7" t="s">
        <v>48</v>
      </c>
      <c r="G961" s="7" t="s">
        <v>55</v>
      </c>
      <c r="H961" s="7" t="s">
        <v>108</v>
      </c>
      <c r="I961" s="7">
        <v>3</v>
      </c>
      <c r="J961" s="9">
        <v>713.57</v>
      </c>
      <c r="K961" s="10">
        <v>3.4700000000000002E-2</v>
      </c>
      <c r="L961" s="9">
        <f t="shared" si="28"/>
        <v>2066.4273630000002</v>
      </c>
      <c r="M961" s="9">
        <f>ROUND(L961*0.696,2)</f>
        <v>1438.23</v>
      </c>
      <c r="N961" s="9">
        <f t="shared" si="29"/>
        <v>628.19736300000022</v>
      </c>
    </row>
    <row r="962" spans="1:14" x14ac:dyDescent="0.35">
      <c r="A962" s="7" t="s">
        <v>1045</v>
      </c>
      <c r="B962" s="8">
        <v>45970</v>
      </c>
      <c r="C962" s="7" t="s">
        <v>76</v>
      </c>
      <c r="D962" s="7" t="s">
        <v>40</v>
      </c>
      <c r="E962" s="7" t="s">
        <v>139</v>
      </c>
      <c r="F962" s="7" t="s">
        <v>48</v>
      </c>
      <c r="G962" s="7" t="s">
        <v>55</v>
      </c>
      <c r="H962" s="7" t="s">
        <v>78</v>
      </c>
      <c r="I962" s="7">
        <v>1</v>
      </c>
      <c r="J962" s="9">
        <v>318.91000000000003</v>
      </c>
      <c r="K962" s="10">
        <v>1.6400000000000001E-2</v>
      </c>
      <c r="L962" s="9">
        <f t="shared" ref="L962:L1025" si="30">I962*J962*(1-K962)</f>
        <v>313.67987600000004</v>
      </c>
      <c r="M962" s="9">
        <f>ROUND(L962*0.6527,2)</f>
        <v>204.74</v>
      </c>
      <c r="N962" s="9">
        <f t="shared" ref="N962:N1025" si="31">L962-M962</f>
        <v>108.93987600000003</v>
      </c>
    </row>
    <row r="963" spans="1:14" x14ac:dyDescent="0.35">
      <c r="A963" s="7" t="s">
        <v>1046</v>
      </c>
      <c r="B963" s="8">
        <v>45971</v>
      </c>
      <c r="C963" s="7" t="s">
        <v>46</v>
      </c>
      <c r="D963" s="7" t="s">
        <v>40</v>
      </c>
      <c r="E963" s="7" t="s">
        <v>62</v>
      </c>
      <c r="F963" s="7" t="s">
        <v>48</v>
      </c>
      <c r="G963" s="7" t="s">
        <v>55</v>
      </c>
      <c r="H963" s="7" t="s">
        <v>74</v>
      </c>
      <c r="I963" s="7">
        <v>1</v>
      </c>
      <c r="J963" s="9">
        <v>193.23</v>
      </c>
      <c r="K963" s="10">
        <v>3.73E-2</v>
      </c>
      <c r="L963" s="9">
        <f t="shared" si="30"/>
        <v>186.02252099999998</v>
      </c>
      <c r="M963" s="9">
        <f>ROUND(L963*0.6221,2)</f>
        <v>115.72</v>
      </c>
      <c r="N963" s="9">
        <f t="shared" si="31"/>
        <v>70.302520999999984</v>
      </c>
    </row>
    <row r="964" spans="1:14" x14ac:dyDescent="0.35">
      <c r="A964" s="7" t="s">
        <v>1047</v>
      </c>
      <c r="B964" s="8">
        <v>45971</v>
      </c>
      <c r="C964" s="7" t="s">
        <v>52</v>
      </c>
      <c r="D964" s="7" t="s">
        <v>66</v>
      </c>
      <c r="E964" s="7" t="s">
        <v>73</v>
      </c>
      <c r="F964" s="7" t="s">
        <v>48</v>
      </c>
      <c r="G964" s="7" t="s">
        <v>49</v>
      </c>
      <c r="H964" s="7" t="s">
        <v>83</v>
      </c>
      <c r="I964" s="7">
        <v>2</v>
      </c>
      <c r="J964" s="9">
        <v>37.24</v>
      </c>
      <c r="K964" s="10">
        <v>6.9099999999999995E-2</v>
      </c>
      <c r="L964" s="9">
        <f t="shared" si="30"/>
        <v>69.333432000000002</v>
      </c>
      <c r="M964" s="9">
        <f>ROUND(L964*0.5837,2)</f>
        <v>40.47</v>
      </c>
      <c r="N964" s="9">
        <f t="shared" si="31"/>
        <v>28.863432000000003</v>
      </c>
    </row>
    <row r="965" spans="1:14" x14ac:dyDescent="0.35">
      <c r="A965" s="7" t="s">
        <v>1048</v>
      </c>
      <c r="B965" s="8">
        <v>45971</v>
      </c>
      <c r="C965" s="7" t="s">
        <v>52</v>
      </c>
      <c r="D965" s="7" t="s">
        <v>69</v>
      </c>
      <c r="E965" s="7" t="s">
        <v>119</v>
      </c>
      <c r="F965" s="7" t="s">
        <v>59</v>
      </c>
      <c r="G965" s="7" t="s">
        <v>55</v>
      </c>
      <c r="H965" s="7" t="s">
        <v>56</v>
      </c>
      <c r="I965" s="7">
        <v>10</v>
      </c>
      <c r="J965" s="9">
        <v>193.27</v>
      </c>
      <c r="K965" s="10">
        <v>6.59E-2</v>
      </c>
      <c r="L965" s="9">
        <f t="shared" si="30"/>
        <v>1805.3350700000001</v>
      </c>
      <c r="M965" s="9">
        <f>ROUND(L965*0.2288,2)</f>
        <v>413.06</v>
      </c>
      <c r="N965" s="9">
        <f t="shared" si="31"/>
        <v>1392.2750700000001</v>
      </c>
    </row>
    <row r="966" spans="1:14" x14ac:dyDescent="0.35">
      <c r="A966" s="7" t="s">
        <v>1049</v>
      </c>
      <c r="B966" s="8">
        <v>45971</v>
      </c>
      <c r="C966" s="7" t="s">
        <v>52</v>
      </c>
      <c r="D966" s="7" t="s">
        <v>40</v>
      </c>
      <c r="E966" s="7" t="s">
        <v>47</v>
      </c>
      <c r="F966" s="7" t="s">
        <v>48</v>
      </c>
      <c r="G966" s="7" t="s">
        <v>55</v>
      </c>
      <c r="H966" s="7" t="s">
        <v>56</v>
      </c>
      <c r="I966" s="7">
        <v>2</v>
      </c>
      <c r="J966" s="9">
        <v>246.1</v>
      </c>
      <c r="K966" s="10">
        <v>5.0900000000000001E-2</v>
      </c>
      <c r="L966" s="9">
        <f t="shared" si="30"/>
        <v>467.14702</v>
      </c>
      <c r="M966" s="9">
        <f>ROUND(L966*0.6395,2)</f>
        <v>298.74</v>
      </c>
      <c r="N966" s="9">
        <f t="shared" si="31"/>
        <v>168.40701999999999</v>
      </c>
    </row>
    <row r="967" spans="1:14" x14ac:dyDescent="0.35">
      <c r="A967" s="7" t="s">
        <v>1050</v>
      </c>
      <c r="B967" s="8">
        <v>45971</v>
      </c>
      <c r="C967" s="7" t="s">
        <v>46</v>
      </c>
      <c r="D967" s="7" t="s">
        <v>40</v>
      </c>
      <c r="E967" s="7" t="s">
        <v>91</v>
      </c>
      <c r="F967" s="7" t="s">
        <v>48</v>
      </c>
      <c r="G967" s="7" t="s">
        <v>55</v>
      </c>
      <c r="H967" s="7" t="s">
        <v>74</v>
      </c>
      <c r="I967" s="7">
        <v>1</v>
      </c>
      <c r="J967" s="9">
        <v>126.97</v>
      </c>
      <c r="K967" s="10">
        <v>2.5899999999999999E-2</v>
      </c>
      <c r="L967" s="9">
        <f t="shared" si="30"/>
        <v>123.681477</v>
      </c>
      <c r="M967" s="9">
        <f>ROUND(L967*0.6681,2)</f>
        <v>82.63</v>
      </c>
      <c r="N967" s="9">
        <f t="shared" si="31"/>
        <v>41.051477000000006</v>
      </c>
    </row>
    <row r="968" spans="1:14" x14ac:dyDescent="0.35">
      <c r="A968" s="7" t="s">
        <v>1051</v>
      </c>
      <c r="B968" s="8">
        <v>45971</v>
      </c>
      <c r="C968" s="7" t="s">
        <v>39</v>
      </c>
      <c r="D968" s="7" t="s">
        <v>53</v>
      </c>
      <c r="E968" s="7" t="s">
        <v>54</v>
      </c>
      <c r="F968" s="7" t="s">
        <v>48</v>
      </c>
      <c r="G968" s="7" t="s">
        <v>55</v>
      </c>
      <c r="H968" s="7" t="s">
        <v>108</v>
      </c>
      <c r="I968" s="7">
        <v>3</v>
      </c>
      <c r="J968" s="9">
        <v>1306.1500000000001</v>
      </c>
      <c r="K968" s="10">
        <v>4.5999999999999999E-2</v>
      </c>
      <c r="L968" s="9">
        <f t="shared" si="30"/>
        <v>3738.2013000000002</v>
      </c>
      <c r="M968" s="9">
        <f>ROUND(L968*0.6983,2)</f>
        <v>2610.39</v>
      </c>
      <c r="N968" s="9">
        <f t="shared" si="31"/>
        <v>1127.8113000000003</v>
      </c>
    </row>
    <row r="969" spans="1:14" x14ac:dyDescent="0.35">
      <c r="A969" s="7" t="s">
        <v>1052</v>
      </c>
      <c r="B969" s="8">
        <v>45972</v>
      </c>
      <c r="C969" s="7" t="s">
        <v>52</v>
      </c>
      <c r="D969" s="7" t="s">
        <v>40</v>
      </c>
      <c r="E969" s="7" t="s">
        <v>47</v>
      </c>
      <c r="F969" s="7" t="s">
        <v>48</v>
      </c>
      <c r="G969" s="7" t="s">
        <v>55</v>
      </c>
      <c r="H969" s="7" t="s">
        <v>56</v>
      </c>
      <c r="I969" s="7">
        <v>1</v>
      </c>
      <c r="J969" s="9">
        <v>255</v>
      </c>
      <c r="K969" s="10">
        <v>2.1000000000000001E-2</v>
      </c>
      <c r="L969" s="9">
        <f t="shared" si="30"/>
        <v>249.64499999999998</v>
      </c>
      <c r="M969" s="9">
        <f>ROUND(L969*0.6233,2)</f>
        <v>155.6</v>
      </c>
      <c r="N969" s="9">
        <f t="shared" si="31"/>
        <v>94.044999999999987</v>
      </c>
    </row>
    <row r="970" spans="1:14" x14ac:dyDescent="0.35">
      <c r="A970" s="7" t="s">
        <v>1053</v>
      </c>
      <c r="B970" s="8">
        <v>45972</v>
      </c>
      <c r="C970" s="7" t="s">
        <v>39</v>
      </c>
      <c r="D970" s="7" t="s">
        <v>69</v>
      </c>
      <c r="E970" s="7" t="s">
        <v>107</v>
      </c>
      <c r="F970" s="7" t="s">
        <v>48</v>
      </c>
      <c r="G970" s="7" t="s">
        <v>55</v>
      </c>
      <c r="H970" s="7" t="s">
        <v>108</v>
      </c>
      <c r="I970" s="7">
        <v>3</v>
      </c>
      <c r="J970" s="9">
        <v>58.18</v>
      </c>
      <c r="K970" s="10">
        <v>8.5000000000000006E-3</v>
      </c>
      <c r="L970" s="9">
        <f t="shared" si="30"/>
        <v>173.05641</v>
      </c>
      <c r="M970" s="9">
        <f>ROUND(L970*0.2464,2)</f>
        <v>42.64</v>
      </c>
      <c r="N970" s="9">
        <f t="shared" si="31"/>
        <v>130.41640999999998</v>
      </c>
    </row>
    <row r="971" spans="1:14" x14ac:dyDescent="0.35">
      <c r="A971" s="7" t="s">
        <v>1054</v>
      </c>
      <c r="B971" s="8">
        <v>45973</v>
      </c>
      <c r="C971" s="7" t="s">
        <v>39</v>
      </c>
      <c r="D971" s="7" t="s">
        <v>69</v>
      </c>
      <c r="E971" s="7" t="s">
        <v>70</v>
      </c>
      <c r="F971" s="7" t="s">
        <v>48</v>
      </c>
      <c r="G971" s="7" t="s">
        <v>55</v>
      </c>
      <c r="H971" s="7" t="s">
        <v>108</v>
      </c>
      <c r="I971" s="7">
        <v>2</v>
      </c>
      <c r="J971" s="9">
        <v>144.34</v>
      </c>
      <c r="K971" s="10">
        <v>3.5099999999999999E-2</v>
      </c>
      <c r="L971" s="9">
        <f t="shared" si="30"/>
        <v>278.54733199999998</v>
      </c>
      <c r="M971" s="9">
        <f>ROUND(L971*0.2604,2)</f>
        <v>72.53</v>
      </c>
      <c r="N971" s="9">
        <f t="shared" si="31"/>
        <v>206.01733199999998</v>
      </c>
    </row>
    <row r="972" spans="1:14" x14ac:dyDescent="0.35">
      <c r="A972" s="7" t="s">
        <v>1055</v>
      </c>
      <c r="B972" s="8">
        <v>45973</v>
      </c>
      <c r="C972" s="7" t="s">
        <v>46</v>
      </c>
      <c r="D972" s="7" t="s">
        <v>53</v>
      </c>
      <c r="E972" s="7" t="s">
        <v>87</v>
      </c>
      <c r="F972" s="7" t="s">
        <v>48</v>
      </c>
      <c r="G972" s="7" t="s">
        <v>55</v>
      </c>
      <c r="H972" s="7" t="s">
        <v>74</v>
      </c>
      <c r="I972" s="7">
        <v>1</v>
      </c>
      <c r="J972" s="9">
        <v>921.7</v>
      </c>
      <c r="K972" s="10">
        <v>2.8899999999999999E-2</v>
      </c>
      <c r="L972" s="9">
        <f t="shared" si="30"/>
        <v>895.06286999999998</v>
      </c>
      <c r="M972" s="9">
        <f>ROUND(L972*0.7142,2)</f>
        <v>639.25</v>
      </c>
      <c r="N972" s="9">
        <f t="shared" si="31"/>
        <v>255.81286999999998</v>
      </c>
    </row>
    <row r="973" spans="1:14" x14ac:dyDescent="0.35">
      <c r="A973" s="7" t="s">
        <v>1056</v>
      </c>
      <c r="B973" s="8">
        <v>45973</v>
      </c>
      <c r="C973" s="7" t="s">
        <v>52</v>
      </c>
      <c r="D973" s="7" t="s">
        <v>66</v>
      </c>
      <c r="E973" s="7" t="s">
        <v>137</v>
      </c>
      <c r="F973" s="7" t="s">
        <v>59</v>
      </c>
      <c r="G973" s="7" t="s">
        <v>55</v>
      </c>
      <c r="H973" s="7" t="s">
        <v>56</v>
      </c>
      <c r="I973" s="7">
        <v>3</v>
      </c>
      <c r="J973" s="9">
        <v>160.37</v>
      </c>
      <c r="K973" s="10">
        <v>9.4299999999999995E-2</v>
      </c>
      <c r="L973" s="9">
        <f t="shared" si="30"/>
        <v>435.74132700000001</v>
      </c>
      <c r="M973" s="9">
        <f>ROUND(L973*0.5905,2)</f>
        <v>257.31</v>
      </c>
      <c r="N973" s="9">
        <f t="shared" si="31"/>
        <v>178.43132700000001</v>
      </c>
    </row>
    <row r="974" spans="1:14" x14ac:dyDescent="0.35">
      <c r="A974" s="7" t="s">
        <v>1057</v>
      </c>
      <c r="B974" s="8">
        <v>45973</v>
      </c>
      <c r="C974" s="7" t="s">
        <v>39</v>
      </c>
      <c r="D974" s="7" t="s">
        <v>69</v>
      </c>
      <c r="E974" s="7" t="s">
        <v>119</v>
      </c>
      <c r="F974" s="7" t="s">
        <v>59</v>
      </c>
      <c r="G974" s="7" t="s">
        <v>43</v>
      </c>
      <c r="H974" s="7" t="s">
        <v>44</v>
      </c>
      <c r="I974" s="7">
        <v>9</v>
      </c>
      <c r="J974" s="9">
        <v>202.35</v>
      </c>
      <c r="K974" s="10">
        <v>0.1135</v>
      </c>
      <c r="L974" s="9">
        <f t="shared" si="30"/>
        <v>1614.4494749999999</v>
      </c>
      <c r="M974" s="9">
        <f>ROUND(L974*0.2342,2)</f>
        <v>378.1</v>
      </c>
      <c r="N974" s="9">
        <f t="shared" si="31"/>
        <v>1236.349475</v>
      </c>
    </row>
    <row r="975" spans="1:14" x14ac:dyDescent="0.35">
      <c r="A975" s="7" t="s">
        <v>1058</v>
      </c>
      <c r="B975" s="8">
        <v>45973</v>
      </c>
      <c r="C975" s="7" t="s">
        <v>52</v>
      </c>
      <c r="D975" s="7" t="s">
        <v>66</v>
      </c>
      <c r="E975" s="7" t="s">
        <v>137</v>
      </c>
      <c r="F975" s="7" t="s">
        <v>42</v>
      </c>
      <c r="G975" s="7" t="s">
        <v>49</v>
      </c>
      <c r="H975" s="7" t="s">
        <v>71</v>
      </c>
      <c r="I975" s="7">
        <v>32</v>
      </c>
      <c r="J975" s="9">
        <v>154.1</v>
      </c>
      <c r="K975" s="10">
        <v>0.12280000000000001</v>
      </c>
      <c r="L975" s="9">
        <f t="shared" si="30"/>
        <v>4325.6486399999994</v>
      </c>
      <c r="M975" s="9">
        <f>ROUND(L975*0.5853,2)</f>
        <v>2531.8000000000002</v>
      </c>
      <c r="N975" s="9">
        <f t="shared" si="31"/>
        <v>1793.8486399999992</v>
      </c>
    </row>
    <row r="976" spans="1:14" x14ac:dyDescent="0.35">
      <c r="A976" s="7" t="s">
        <v>1059</v>
      </c>
      <c r="B976" s="8">
        <v>45973</v>
      </c>
      <c r="C976" s="7" t="s">
        <v>76</v>
      </c>
      <c r="D976" s="7" t="s">
        <v>66</v>
      </c>
      <c r="E976" s="7" t="s">
        <v>73</v>
      </c>
      <c r="F976" s="7" t="s">
        <v>59</v>
      </c>
      <c r="G976" s="7" t="s">
        <v>49</v>
      </c>
      <c r="H976" s="7" t="s">
        <v>110</v>
      </c>
      <c r="I976" s="7">
        <v>9</v>
      </c>
      <c r="J976" s="9">
        <v>39.119999999999997</v>
      </c>
      <c r="K976" s="10">
        <v>0.14710000000000001</v>
      </c>
      <c r="L976" s="9">
        <f t="shared" si="30"/>
        <v>300.28903199999996</v>
      </c>
      <c r="M976" s="9">
        <f>ROUND(L976*0.5645,2)</f>
        <v>169.51</v>
      </c>
      <c r="N976" s="9">
        <f t="shared" si="31"/>
        <v>130.77903199999997</v>
      </c>
    </row>
    <row r="977" spans="1:14" x14ac:dyDescent="0.35">
      <c r="A977" s="7" t="s">
        <v>1060</v>
      </c>
      <c r="B977" s="8">
        <v>45974</v>
      </c>
      <c r="C977" s="7" t="s">
        <v>52</v>
      </c>
      <c r="D977" s="7" t="s">
        <v>53</v>
      </c>
      <c r="E977" s="7" t="s">
        <v>105</v>
      </c>
      <c r="F977" s="7" t="s">
        <v>42</v>
      </c>
      <c r="G977" s="7" t="s">
        <v>55</v>
      </c>
      <c r="H977" s="7" t="s">
        <v>56</v>
      </c>
      <c r="I977" s="7">
        <v>17</v>
      </c>
      <c r="J977" s="9">
        <v>443.4</v>
      </c>
      <c r="K977" s="10">
        <v>7.1800000000000003E-2</v>
      </c>
      <c r="L977" s="9">
        <f t="shared" si="30"/>
        <v>6996.5859599999994</v>
      </c>
      <c r="M977" s="9">
        <f>ROUND(L977*0.7211,2)</f>
        <v>5045.24</v>
      </c>
      <c r="N977" s="9">
        <f t="shared" si="31"/>
        <v>1951.3459599999996</v>
      </c>
    </row>
    <row r="978" spans="1:14" x14ac:dyDescent="0.35">
      <c r="A978" s="7" t="s">
        <v>1061</v>
      </c>
      <c r="B978" s="8">
        <v>45974</v>
      </c>
      <c r="C978" s="7" t="s">
        <v>39</v>
      </c>
      <c r="D978" s="7" t="s">
        <v>40</v>
      </c>
      <c r="E978" s="7" t="s">
        <v>62</v>
      </c>
      <c r="F978" s="7" t="s">
        <v>42</v>
      </c>
      <c r="G978" s="7" t="s">
        <v>49</v>
      </c>
      <c r="H978" s="7" t="s">
        <v>60</v>
      </c>
      <c r="I978" s="7">
        <v>25</v>
      </c>
      <c r="J978" s="9">
        <v>200</v>
      </c>
      <c r="K978" s="10">
        <v>0.1221</v>
      </c>
      <c r="L978" s="9">
        <f t="shared" si="30"/>
        <v>4389.5</v>
      </c>
      <c r="M978" s="9">
        <f>ROUND(L978*0.6249,2)</f>
        <v>2743</v>
      </c>
      <c r="N978" s="9">
        <f t="shared" si="31"/>
        <v>1646.5</v>
      </c>
    </row>
    <row r="979" spans="1:14" x14ac:dyDescent="0.35">
      <c r="A979" s="7" t="s">
        <v>1062</v>
      </c>
      <c r="B979" s="8">
        <v>45974</v>
      </c>
      <c r="C979" s="7" t="s">
        <v>52</v>
      </c>
      <c r="D979" s="7" t="s">
        <v>53</v>
      </c>
      <c r="E979" s="7" t="s">
        <v>105</v>
      </c>
      <c r="F979" s="7" t="s">
        <v>48</v>
      </c>
      <c r="G979" s="7" t="s">
        <v>55</v>
      </c>
      <c r="H979" s="7" t="s">
        <v>56</v>
      </c>
      <c r="I979" s="7">
        <v>2</v>
      </c>
      <c r="J979" s="9">
        <v>457.59</v>
      </c>
      <c r="K979" s="10">
        <v>5.67E-2</v>
      </c>
      <c r="L979" s="9">
        <f t="shared" si="30"/>
        <v>863.28929399999993</v>
      </c>
      <c r="M979" s="9">
        <f>ROUND(L979*0.6967,2)</f>
        <v>601.45000000000005</v>
      </c>
      <c r="N979" s="9">
        <f t="shared" si="31"/>
        <v>261.83929399999988</v>
      </c>
    </row>
    <row r="980" spans="1:14" x14ac:dyDescent="0.35">
      <c r="A980" s="7" t="s">
        <v>1063</v>
      </c>
      <c r="B980" s="8">
        <v>45974</v>
      </c>
      <c r="C980" s="7" t="s">
        <v>52</v>
      </c>
      <c r="D980" s="7" t="s">
        <v>53</v>
      </c>
      <c r="E980" s="7" t="s">
        <v>87</v>
      </c>
      <c r="F980" s="7" t="s">
        <v>48</v>
      </c>
      <c r="G980" s="7" t="s">
        <v>55</v>
      </c>
      <c r="H980" s="7" t="s">
        <v>56</v>
      </c>
      <c r="I980" s="7">
        <v>1</v>
      </c>
      <c r="J980" s="9">
        <v>926.04</v>
      </c>
      <c r="K980" s="10">
        <v>4.2799999999999998E-2</v>
      </c>
      <c r="L980" s="9">
        <f t="shared" si="30"/>
        <v>886.40548799999999</v>
      </c>
      <c r="M980" s="9">
        <f>ROUND(L980*0.7056,2)</f>
        <v>625.45000000000005</v>
      </c>
      <c r="N980" s="9">
        <f t="shared" si="31"/>
        <v>260.95548799999995</v>
      </c>
    </row>
    <row r="981" spans="1:14" x14ac:dyDescent="0.35">
      <c r="A981" s="7" t="s">
        <v>1064</v>
      </c>
      <c r="B981" s="8">
        <v>45974</v>
      </c>
      <c r="C981" s="7" t="s">
        <v>39</v>
      </c>
      <c r="D981" s="7" t="s">
        <v>66</v>
      </c>
      <c r="E981" s="7" t="s">
        <v>73</v>
      </c>
      <c r="F981" s="7" t="s">
        <v>59</v>
      </c>
      <c r="G981" s="7" t="s">
        <v>43</v>
      </c>
      <c r="H981" s="7" t="s">
        <v>44</v>
      </c>
      <c r="I981" s="7">
        <v>5</v>
      </c>
      <c r="J981" s="9">
        <v>36.74</v>
      </c>
      <c r="K981" s="10">
        <v>0.12870000000000001</v>
      </c>
      <c r="L981" s="9">
        <f t="shared" si="30"/>
        <v>160.05781000000002</v>
      </c>
      <c r="M981" s="9">
        <f>ROUND(L981*0.5507,2)</f>
        <v>88.14</v>
      </c>
      <c r="N981" s="9">
        <f t="shared" si="31"/>
        <v>71.917810000000017</v>
      </c>
    </row>
    <row r="982" spans="1:14" x14ac:dyDescent="0.35">
      <c r="A982" s="7" t="s">
        <v>1065</v>
      </c>
      <c r="B982" s="8">
        <v>45974</v>
      </c>
      <c r="C982" s="7" t="s">
        <v>46</v>
      </c>
      <c r="D982" s="7" t="s">
        <v>53</v>
      </c>
      <c r="E982" s="7" t="s">
        <v>81</v>
      </c>
      <c r="F982" s="7" t="s">
        <v>42</v>
      </c>
      <c r="G982" s="7" t="s">
        <v>55</v>
      </c>
      <c r="H982" s="7" t="s">
        <v>74</v>
      </c>
      <c r="I982" s="7">
        <v>23</v>
      </c>
      <c r="J982" s="9">
        <v>1128.17</v>
      </c>
      <c r="K982" s="10">
        <v>8.4400000000000003E-2</v>
      </c>
      <c r="L982" s="9">
        <f t="shared" si="30"/>
        <v>23757.906396000002</v>
      </c>
      <c r="M982" s="9">
        <f>ROUND(L982*0.7315,2)</f>
        <v>17378.91</v>
      </c>
      <c r="N982" s="9">
        <f t="shared" si="31"/>
        <v>6378.9963960000023</v>
      </c>
    </row>
    <row r="983" spans="1:14" x14ac:dyDescent="0.35">
      <c r="A983" s="7" t="s">
        <v>1066</v>
      </c>
      <c r="B983" s="8">
        <v>45974</v>
      </c>
      <c r="C983" s="7" t="s">
        <v>46</v>
      </c>
      <c r="D983" s="7" t="s">
        <v>40</v>
      </c>
      <c r="E983" s="7" t="s">
        <v>41</v>
      </c>
      <c r="F983" s="7" t="s">
        <v>59</v>
      </c>
      <c r="G983" s="7" t="s">
        <v>49</v>
      </c>
      <c r="H983" s="7" t="s">
        <v>95</v>
      </c>
      <c r="I983" s="7">
        <v>4</v>
      </c>
      <c r="J983" s="9">
        <v>394.28</v>
      </c>
      <c r="K983" s="10">
        <v>8.3900000000000002E-2</v>
      </c>
      <c r="L983" s="9">
        <f t="shared" si="30"/>
        <v>1444.799632</v>
      </c>
      <c r="M983" s="9">
        <f>ROUND(L983*0.6217,2)</f>
        <v>898.23</v>
      </c>
      <c r="N983" s="9">
        <f t="shared" si="31"/>
        <v>546.56963199999996</v>
      </c>
    </row>
    <row r="984" spans="1:14" x14ac:dyDescent="0.35">
      <c r="A984" s="7" t="s">
        <v>1067</v>
      </c>
      <c r="B984" s="8">
        <v>45975</v>
      </c>
      <c r="C984" s="7" t="s">
        <v>39</v>
      </c>
      <c r="D984" s="7" t="s">
        <v>66</v>
      </c>
      <c r="E984" s="7" t="s">
        <v>73</v>
      </c>
      <c r="F984" s="7" t="s">
        <v>59</v>
      </c>
      <c r="G984" s="7" t="s">
        <v>43</v>
      </c>
      <c r="H984" s="7" t="s">
        <v>44</v>
      </c>
      <c r="I984" s="7">
        <v>6</v>
      </c>
      <c r="J984" s="9">
        <v>38.880000000000003</v>
      </c>
      <c r="K984" s="10">
        <v>0.1046</v>
      </c>
      <c r="L984" s="9">
        <f t="shared" si="30"/>
        <v>208.87891200000001</v>
      </c>
      <c r="M984" s="9">
        <f>ROUND(L984*0.5889,2)</f>
        <v>123.01</v>
      </c>
      <c r="N984" s="9">
        <f t="shared" si="31"/>
        <v>85.868912000000009</v>
      </c>
    </row>
    <row r="985" spans="1:14" x14ac:dyDescent="0.35">
      <c r="A985" s="7" t="s">
        <v>1068</v>
      </c>
      <c r="B985" s="8">
        <v>45975</v>
      </c>
      <c r="C985" s="7" t="s">
        <v>46</v>
      </c>
      <c r="D985" s="7" t="s">
        <v>69</v>
      </c>
      <c r="E985" s="7" t="s">
        <v>70</v>
      </c>
      <c r="F985" s="7" t="s">
        <v>48</v>
      </c>
      <c r="G985" s="7" t="s">
        <v>55</v>
      </c>
      <c r="H985" s="7" t="s">
        <v>74</v>
      </c>
      <c r="I985" s="7">
        <v>1</v>
      </c>
      <c r="J985" s="9">
        <v>147.81</v>
      </c>
      <c r="K985" s="10">
        <v>3.5799999999999998E-2</v>
      </c>
      <c r="L985" s="9">
        <f t="shared" si="30"/>
        <v>142.51840199999998</v>
      </c>
      <c r="M985" s="9">
        <f>ROUND(L985*0.2253,2)</f>
        <v>32.11</v>
      </c>
      <c r="N985" s="9">
        <f t="shared" si="31"/>
        <v>110.40840199999998</v>
      </c>
    </row>
    <row r="986" spans="1:14" x14ac:dyDescent="0.35">
      <c r="A986" s="7" t="s">
        <v>1069</v>
      </c>
      <c r="B986" s="8">
        <v>45975</v>
      </c>
      <c r="C986" s="7" t="s">
        <v>39</v>
      </c>
      <c r="D986" s="7" t="s">
        <v>66</v>
      </c>
      <c r="E986" s="7" t="s">
        <v>98</v>
      </c>
      <c r="F986" s="7" t="s">
        <v>59</v>
      </c>
      <c r="G986" s="7" t="s">
        <v>43</v>
      </c>
      <c r="H986" s="7" t="s">
        <v>60</v>
      </c>
      <c r="I986" s="7">
        <v>4</v>
      </c>
      <c r="J986" s="9">
        <v>28.06</v>
      </c>
      <c r="K986" s="10">
        <v>0.12989999999999999</v>
      </c>
      <c r="L986" s="9">
        <f t="shared" si="30"/>
        <v>97.660023999999993</v>
      </c>
      <c r="M986" s="9">
        <f>ROUND(L986*0.5613,2)</f>
        <v>54.82</v>
      </c>
      <c r="N986" s="9">
        <f t="shared" si="31"/>
        <v>42.840023999999993</v>
      </c>
    </row>
    <row r="987" spans="1:14" x14ac:dyDescent="0.35">
      <c r="A987" s="7" t="s">
        <v>1070</v>
      </c>
      <c r="B987" s="8">
        <v>45975</v>
      </c>
      <c r="C987" s="7" t="s">
        <v>39</v>
      </c>
      <c r="D987" s="7" t="s">
        <v>66</v>
      </c>
      <c r="E987" s="7" t="s">
        <v>73</v>
      </c>
      <c r="F987" s="7" t="s">
        <v>42</v>
      </c>
      <c r="G987" s="7" t="s">
        <v>43</v>
      </c>
      <c r="H987" s="7" t="s">
        <v>60</v>
      </c>
      <c r="I987" s="7">
        <v>35</v>
      </c>
      <c r="J987" s="9">
        <v>39.619999999999997</v>
      </c>
      <c r="K987" s="10">
        <v>0.2094</v>
      </c>
      <c r="L987" s="9">
        <f t="shared" si="30"/>
        <v>1096.3250199999998</v>
      </c>
      <c r="M987" s="9">
        <f>ROUND(L987*0.5951,2)</f>
        <v>652.41999999999996</v>
      </c>
      <c r="N987" s="9">
        <f t="shared" si="31"/>
        <v>443.90501999999981</v>
      </c>
    </row>
    <row r="988" spans="1:14" x14ac:dyDescent="0.35">
      <c r="A988" s="7" t="s">
        <v>1071</v>
      </c>
      <c r="B988" s="8">
        <v>45975</v>
      </c>
      <c r="C988" s="7" t="s">
        <v>39</v>
      </c>
      <c r="D988" s="7" t="s">
        <v>66</v>
      </c>
      <c r="E988" s="7" t="s">
        <v>77</v>
      </c>
      <c r="F988" s="7" t="s">
        <v>42</v>
      </c>
      <c r="G988" s="7" t="s">
        <v>49</v>
      </c>
      <c r="H988" s="7" t="s">
        <v>60</v>
      </c>
      <c r="I988" s="7">
        <v>38</v>
      </c>
      <c r="J988" s="9">
        <v>99.56</v>
      </c>
      <c r="K988" s="10">
        <v>0.1545</v>
      </c>
      <c r="L988" s="9">
        <f t="shared" si="30"/>
        <v>3198.7632400000002</v>
      </c>
      <c r="M988" s="9">
        <f>ROUND(L988*0.5571,2)</f>
        <v>1782.03</v>
      </c>
      <c r="N988" s="9">
        <f t="shared" si="31"/>
        <v>1416.7332400000003</v>
      </c>
    </row>
    <row r="989" spans="1:14" x14ac:dyDescent="0.35">
      <c r="A989" s="7" t="s">
        <v>1072</v>
      </c>
      <c r="B989" s="8">
        <v>45975</v>
      </c>
      <c r="C989" s="7" t="s">
        <v>76</v>
      </c>
      <c r="D989" s="7" t="s">
        <v>53</v>
      </c>
      <c r="E989" s="7" t="s">
        <v>87</v>
      </c>
      <c r="F989" s="7" t="s">
        <v>48</v>
      </c>
      <c r="G989" s="7" t="s">
        <v>55</v>
      </c>
      <c r="H989" s="7" t="s">
        <v>78</v>
      </c>
      <c r="I989" s="7">
        <v>2</v>
      </c>
      <c r="J989" s="9">
        <v>918.18</v>
      </c>
      <c r="K989" s="10">
        <v>3.7499999999999999E-2</v>
      </c>
      <c r="L989" s="9">
        <f t="shared" si="30"/>
        <v>1767.4965</v>
      </c>
      <c r="M989" s="9">
        <f>ROUND(L989*0.7397,2)</f>
        <v>1307.42</v>
      </c>
      <c r="N989" s="9">
        <f t="shared" si="31"/>
        <v>460.0764999999999</v>
      </c>
    </row>
    <row r="990" spans="1:14" x14ac:dyDescent="0.35">
      <c r="A990" s="7" t="s">
        <v>1073</v>
      </c>
      <c r="B990" s="8">
        <v>45975</v>
      </c>
      <c r="C990" s="7" t="s">
        <v>39</v>
      </c>
      <c r="D990" s="7" t="s">
        <v>53</v>
      </c>
      <c r="E990" s="7" t="s">
        <v>54</v>
      </c>
      <c r="F990" s="7" t="s">
        <v>59</v>
      </c>
      <c r="G990" s="7" t="s">
        <v>49</v>
      </c>
      <c r="H990" s="7" t="s">
        <v>60</v>
      </c>
      <c r="I990" s="7">
        <v>9</v>
      </c>
      <c r="J990" s="9">
        <v>1265</v>
      </c>
      <c r="K990" s="10">
        <v>8.8300000000000003E-2</v>
      </c>
      <c r="L990" s="9">
        <f t="shared" si="30"/>
        <v>10379.7045</v>
      </c>
      <c r="M990" s="9">
        <f>ROUND(L990*0.7096,2)</f>
        <v>7365.44</v>
      </c>
      <c r="N990" s="9">
        <f t="shared" si="31"/>
        <v>3014.2645000000002</v>
      </c>
    </row>
    <row r="991" spans="1:14" x14ac:dyDescent="0.35">
      <c r="A991" s="7" t="s">
        <v>1074</v>
      </c>
      <c r="B991" s="8">
        <v>45976</v>
      </c>
      <c r="C991" s="7" t="s">
        <v>39</v>
      </c>
      <c r="D991" s="7" t="s">
        <v>66</v>
      </c>
      <c r="E991" s="7" t="s">
        <v>77</v>
      </c>
      <c r="F991" s="7" t="s">
        <v>48</v>
      </c>
      <c r="G991" s="7" t="s">
        <v>49</v>
      </c>
      <c r="H991" s="7" t="s">
        <v>60</v>
      </c>
      <c r="I991" s="7">
        <v>3</v>
      </c>
      <c r="J991" s="9">
        <v>93.69</v>
      </c>
      <c r="K991" s="10">
        <v>3.6200000000000003E-2</v>
      </c>
      <c r="L991" s="9">
        <f t="shared" si="30"/>
        <v>270.89526599999999</v>
      </c>
      <c r="M991" s="9">
        <f>ROUND(L991*0.5717,2)</f>
        <v>154.87</v>
      </c>
      <c r="N991" s="9">
        <f t="shared" si="31"/>
        <v>116.02526599999999</v>
      </c>
    </row>
    <row r="992" spans="1:14" x14ac:dyDescent="0.35">
      <c r="A992" s="7" t="s">
        <v>1075</v>
      </c>
      <c r="B992" s="8">
        <v>45976</v>
      </c>
      <c r="C992" s="7" t="s">
        <v>46</v>
      </c>
      <c r="D992" s="7" t="s">
        <v>53</v>
      </c>
      <c r="E992" s="7" t="s">
        <v>87</v>
      </c>
      <c r="F992" s="7" t="s">
        <v>59</v>
      </c>
      <c r="G992" s="7" t="s">
        <v>49</v>
      </c>
      <c r="H992" s="7" t="s">
        <v>95</v>
      </c>
      <c r="I992" s="7">
        <v>6</v>
      </c>
      <c r="J992" s="9">
        <v>837.37</v>
      </c>
      <c r="K992" s="10">
        <v>9.7500000000000003E-2</v>
      </c>
      <c r="L992" s="9">
        <f t="shared" si="30"/>
        <v>4534.3585499999999</v>
      </c>
      <c r="M992" s="9">
        <f>ROUND(L992*0.7365,2)</f>
        <v>3339.56</v>
      </c>
      <c r="N992" s="9">
        <f t="shared" si="31"/>
        <v>1194.79855</v>
      </c>
    </row>
    <row r="993" spans="1:14" x14ac:dyDescent="0.35">
      <c r="A993" s="7" t="s">
        <v>1076</v>
      </c>
      <c r="B993" s="8">
        <v>45977</v>
      </c>
      <c r="C993" s="7" t="s">
        <v>46</v>
      </c>
      <c r="D993" s="7" t="s">
        <v>53</v>
      </c>
      <c r="E993" s="7" t="s">
        <v>54</v>
      </c>
      <c r="F993" s="7" t="s">
        <v>48</v>
      </c>
      <c r="G993" s="7" t="s">
        <v>49</v>
      </c>
      <c r="H993" s="7" t="s">
        <v>50</v>
      </c>
      <c r="I993" s="7">
        <v>2</v>
      </c>
      <c r="J993" s="9">
        <v>1240.77</v>
      </c>
      <c r="K993" s="10">
        <v>3.9800000000000002E-2</v>
      </c>
      <c r="L993" s="9">
        <f t="shared" si="30"/>
        <v>2382.7747079999999</v>
      </c>
      <c r="M993" s="9">
        <f>ROUND(L993*0.6874,2)</f>
        <v>1637.92</v>
      </c>
      <c r="N993" s="9">
        <f t="shared" si="31"/>
        <v>744.85470799999985</v>
      </c>
    </row>
    <row r="994" spans="1:14" x14ac:dyDescent="0.35">
      <c r="A994" s="7" t="s">
        <v>1077</v>
      </c>
      <c r="B994" s="8">
        <v>45977</v>
      </c>
      <c r="C994" s="7" t="s">
        <v>46</v>
      </c>
      <c r="D994" s="7" t="s">
        <v>40</v>
      </c>
      <c r="E994" s="7" t="s">
        <v>41</v>
      </c>
      <c r="F994" s="7" t="s">
        <v>48</v>
      </c>
      <c r="G994" s="7" t="s">
        <v>55</v>
      </c>
      <c r="H994" s="7" t="s">
        <v>74</v>
      </c>
      <c r="I994" s="7">
        <v>1</v>
      </c>
      <c r="J994" s="9">
        <v>383.17</v>
      </c>
      <c r="K994" s="10">
        <v>3.7100000000000001E-2</v>
      </c>
      <c r="L994" s="9">
        <f t="shared" si="30"/>
        <v>368.95439299999998</v>
      </c>
      <c r="M994" s="9">
        <f>ROUND(L994*0.6538,2)</f>
        <v>241.22</v>
      </c>
      <c r="N994" s="9">
        <f t="shared" si="31"/>
        <v>127.73439299999998</v>
      </c>
    </row>
    <row r="995" spans="1:14" x14ac:dyDescent="0.35">
      <c r="A995" s="7" t="s">
        <v>1078</v>
      </c>
      <c r="B995" s="8">
        <v>45977</v>
      </c>
      <c r="C995" s="7" t="s">
        <v>52</v>
      </c>
      <c r="D995" s="7" t="s">
        <v>66</v>
      </c>
      <c r="E995" s="7" t="s">
        <v>137</v>
      </c>
      <c r="F995" s="7" t="s">
        <v>59</v>
      </c>
      <c r="G995" s="7" t="s">
        <v>49</v>
      </c>
      <c r="H995" s="7" t="s">
        <v>83</v>
      </c>
      <c r="I995" s="7">
        <v>9</v>
      </c>
      <c r="J995" s="9">
        <v>154.25</v>
      </c>
      <c r="K995" s="10">
        <v>0.12690000000000001</v>
      </c>
      <c r="L995" s="9">
        <f t="shared" si="30"/>
        <v>1212.0810750000001</v>
      </c>
      <c r="M995" s="9">
        <f>ROUND(L995*0.6006,2)</f>
        <v>727.98</v>
      </c>
      <c r="N995" s="9">
        <f t="shared" si="31"/>
        <v>484.10107500000004</v>
      </c>
    </row>
    <row r="996" spans="1:14" x14ac:dyDescent="0.35">
      <c r="A996" s="7" t="s">
        <v>1079</v>
      </c>
      <c r="B996" s="8">
        <v>45978</v>
      </c>
      <c r="C996" s="7" t="s">
        <v>39</v>
      </c>
      <c r="D996" s="7" t="s">
        <v>66</v>
      </c>
      <c r="E996" s="7" t="s">
        <v>98</v>
      </c>
      <c r="F996" s="7" t="s">
        <v>59</v>
      </c>
      <c r="G996" s="7" t="s">
        <v>49</v>
      </c>
      <c r="H996" s="7" t="s">
        <v>44</v>
      </c>
      <c r="I996" s="7">
        <v>3</v>
      </c>
      <c r="J996" s="9">
        <v>29.17</v>
      </c>
      <c r="K996" s="10">
        <v>0.1074</v>
      </c>
      <c r="L996" s="9">
        <f t="shared" si="30"/>
        <v>78.111426000000009</v>
      </c>
      <c r="M996" s="9">
        <f>ROUND(L996*0.5662,2)</f>
        <v>44.23</v>
      </c>
      <c r="N996" s="9">
        <f t="shared" si="31"/>
        <v>33.881426000000012</v>
      </c>
    </row>
    <row r="997" spans="1:14" x14ac:dyDescent="0.35">
      <c r="A997" s="7" t="s">
        <v>1080</v>
      </c>
      <c r="B997" s="8">
        <v>45979</v>
      </c>
      <c r="C997" s="7" t="s">
        <v>76</v>
      </c>
      <c r="D997" s="7" t="s">
        <v>66</v>
      </c>
      <c r="E997" s="7" t="s">
        <v>73</v>
      </c>
      <c r="F997" s="7" t="s">
        <v>59</v>
      </c>
      <c r="G997" s="7" t="s">
        <v>43</v>
      </c>
      <c r="H997" s="7" t="s">
        <v>151</v>
      </c>
      <c r="I997" s="7">
        <v>6</v>
      </c>
      <c r="J997" s="9">
        <v>38.840000000000003</v>
      </c>
      <c r="K997" s="10">
        <v>0.13170000000000001</v>
      </c>
      <c r="L997" s="9">
        <f t="shared" si="30"/>
        <v>202.34863200000001</v>
      </c>
      <c r="M997" s="9">
        <f>ROUND(L997*0.5502,2)</f>
        <v>111.33</v>
      </c>
      <c r="N997" s="9">
        <f t="shared" si="31"/>
        <v>91.018632000000011</v>
      </c>
    </row>
    <row r="998" spans="1:14" x14ac:dyDescent="0.35">
      <c r="A998" s="7" t="s">
        <v>1081</v>
      </c>
      <c r="B998" s="8">
        <v>45979</v>
      </c>
      <c r="C998" s="7" t="s">
        <v>39</v>
      </c>
      <c r="D998" s="7" t="s">
        <v>40</v>
      </c>
      <c r="E998" s="7" t="s">
        <v>41</v>
      </c>
      <c r="F998" s="7" t="s">
        <v>59</v>
      </c>
      <c r="G998" s="7" t="s">
        <v>49</v>
      </c>
      <c r="H998" s="7" t="s">
        <v>60</v>
      </c>
      <c r="I998" s="7">
        <v>7</v>
      </c>
      <c r="J998" s="9">
        <v>374.72</v>
      </c>
      <c r="K998" s="10">
        <v>6.4799999999999996E-2</v>
      </c>
      <c r="L998" s="9">
        <f t="shared" si="30"/>
        <v>2453.067008</v>
      </c>
      <c r="M998" s="9">
        <f>ROUND(L998*0.6349,2)</f>
        <v>1557.45</v>
      </c>
      <c r="N998" s="9">
        <f t="shared" si="31"/>
        <v>895.61700799999994</v>
      </c>
    </row>
    <row r="999" spans="1:14" x14ac:dyDescent="0.35">
      <c r="A999" s="7" t="s">
        <v>1082</v>
      </c>
      <c r="B999" s="8">
        <v>45979</v>
      </c>
      <c r="C999" s="7" t="s">
        <v>76</v>
      </c>
      <c r="D999" s="7" t="s">
        <v>69</v>
      </c>
      <c r="E999" s="7" t="s">
        <v>119</v>
      </c>
      <c r="F999" s="7" t="s">
        <v>48</v>
      </c>
      <c r="G999" s="7" t="s">
        <v>55</v>
      </c>
      <c r="H999" s="7" t="s">
        <v>78</v>
      </c>
      <c r="I999" s="7">
        <v>1</v>
      </c>
      <c r="J999" s="9">
        <v>201.22</v>
      </c>
      <c r="K999" s="10">
        <v>2.3900000000000001E-2</v>
      </c>
      <c r="L999" s="9">
        <f t="shared" si="30"/>
        <v>196.410842</v>
      </c>
      <c r="M999" s="9">
        <f>ROUND(L999*0.2267,2)</f>
        <v>44.53</v>
      </c>
      <c r="N999" s="9">
        <f t="shared" si="31"/>
        <v>151.880842</v>
      </c>
    </row>
    <row r="1000" spans="1:14" x14ac:dyDescent="0.35">
      <c r="A1000" s="7" t="s">
        <v>1083</v>
      </c>
      <c r="B1000" s="8">
        <v>45979</v>
      </c>
      <c r="C1000" s="7" t="s">
        <v>39</v>
      </c>
      <c r="D1000" s="7" t="s">
        <v>69</v>
      </c>
      <c r="E1000" s="7" t="s">
        <v>132</v>
      </c>
      <c r="F1000" s="7" t="s">
        <v>48</v>
      </c>
      <c r="G1000" s="7" t="s">
        <v>55</v>
      </c>
      <c r="H1000" s="7" t="s">
        <v>108</v>
      </c>
      <c r="I1000" s="7">
        <v>1</v>
      </c>
      <c r="J1000" s="9">
        <v>79.959999999999994</v>
      </c>
      <c r="K1000" s="10">
        <v>1.49E-2</v>
      </c>
      <c r="L1000" s="9">
        <f t="shared" si="30"/>
        <v>78.768595999999988</v>
      </c>
      <c r="M1000" s="9">
        <f>ROUND(L1000*0.2254,2)</f>
        <v>17.75</v>
      </c>
      <c r="N1000" s="9">
        <f t="shared" si="31"/>
        <v>61.018595999999988</v>
      </c>
    </row>
    <row r="1001" spans="1:14" x14ac:dyDescent="0.35">
      <c r="A1001" s="7" t="s">
        <v>1084</v>
      </c>
      <c r="B1001" s="8">
        <v>45979</v>
      </c>
      <c r="C1001" s="7" t="s">
        <v>46</v>
      </c>
      <c r="D1001" s="7" t="s">
        <v>66</v>
      </c>
      <c r="E1001" s="7" t="s">
        <v>77</v>
      </c>
      <c r="F1001" s="7" t="s">
        <v>48</v>
      </c>
      <c r="G1001" s="7" t="s">
        <v>49</v>
      </c>
      <c r="H1001" s="7" t="s">
        <v>50</v>
      </c>
      <c r="I1001" s="7">
        <v>3</v>
      </c>
      <c r="J1001" s="9">
        <v>93.37</v>
      </c>
      <c r="K1001" s="10">
        <v>8.0299999999999996E-2</v>
      </c>
      <c r="L1001" s="9">
        <f t="shared" si="30"/>
        <v>257.61716699999999</v>
      </c>
      <c r="M1001" s="9">
        <f>ROUND(L1001*0.5751,2)</f>
        <v>148.16</v>
      </c>
      <c r="N1001" s="9">
        <f t="shared" si="31"/>
        <v>109.457167</v>
      </c>
    </row>
    <row r="1002" spans="1:14" x14ac:dyDescent="0.35">
      <c r="A1002" s="7" t="s">
        <v>1085</v>
      </c>
      <c r="B1002" s="8">
        <v>45979</v>
      </c>
      <c r="C1002" s="7" t="s">
        <v>39</v>
      </c>
      <c r="D1002" s="7" t="s">
        <v>66</v>
      </c>
      <c r="E1002" s="7" t="s">
        <v>98</v>
      </c>
      <c r="F1002" s="7" t="s">
        <v>48</v>
      </c>
      <c r="G1002" s="7" t="s">
        <v>55</v>
      </c>
      <c r="H1002" s="7" t="s">
        <v>108</v>
      </c>
      <c r="I1002" s="7">
        <v>1</v>
      </c>
      <c r="J1002" s="9">
        <v>28.68</v>
      </c>
      <c r="K1002" s="10">
        <v>2.52E-2</v>
      </c>
      <c r="L1002" s="9">
        <f t="shared" si="30"/>
        <v>27.957263999999999</v>
      </c>
      <c r="M1002" s="9">
        <f>ROUND(L1002*0.5664,2)</f>
        <v>15.83</v>
      </c>
      <c r="N1002" s="9">
        <f t="shared" si="31"/>
        <v>12.127263999999998</v>
      </c>
    </row>
    <row r="1003" spans="1:14" x14ac:dyDescent="0.35">
      <c r="A1003" s="7" t="s">
        <v>1086</v>
      </c>
      <c r="B1003" s="8">
        <v>45980</v>
      </c>
      <c r="C1003" s="7" t="s">
        <v>76</v>
      </c>
      <c r="D1003" s="7" t="s">
        <v>66</v>
      </c>
      <c r="E1003" s="7" t="s">
        <v>98</v>
      </c>
      <c r="F1003" s="7" t="s">
        <v>48</v>
      </c>
      <c r="G1003" s="7" t="s">
        <v>55</v>
      </c>
      <c r="H1003" s="7" t="s">
        <v>78</v>
      </c>
      <c r="I1003" s="7">
        <v>2</v>
      </c>
      <c r="J1003" s="9">
        <v>28.18</v>
      </c>
      <c r="K1003" s="10">
        <v>4.7600000000000003E-2</v>
      </c>
      <c r="L1003" s="9">
        <f t="shared" si="30"/>
        <v>53.677264000000001</v>
      </c>
      <c r="M1003" s="9">
        <f>ROUND(L1003*0.6002,2)</f>
        <v>32.22</v>
      </c>
      <c r="N1003" s="9">
        <f t="shared" si="31"/>
        <v>21.457264000000002</v>
      </c>
    </row>
    <row r="1004" spans="1:14" x14ac:dyDescent="0.35">
      <c r="A1004" s="7" t="s">
        <v>1087</v>
      </c>
      <c r="B1004" s="8">
        <v>45981</v>
      </c>
      <c r="C1004" s="7" t="s">
        <v>46</v>
      </c>
      <c r="D1004" s="7" t="s">
        <v>53</v>
      </c>
      <c r="E1004" s="7" t="s">
        <v>58</v>
      </c>
      <c r="F1004" s="7" t="s">
        <v>48</v>
      </c>
      <c r="G1004" s="7" t="s">
        <v>55</v>
      </c>
      <c r="H1004" s="7" t="s">
        <v>74</v>
      </c>
      <c r="I1004" s="7">
        <v>2</v>
      </c>
      <c r="J1004" s="9">
        <v>681.14</v>
      </c>
      <c r="K1004" s="10">
        <v>4.3400000000000001E-2</v>
      </c>
      <c r="L1004" s="9">
        <f t="shared" si="30"/>
        <v>1303.157048</v>
      </c>
      <c r="M1004" s="9">
        <f>ROUND(L1004*0.7207,2)</f>
        <v>939.19</v>
      </c>
      <c r="N1004" s="9">
        <f t="shared" si="31"/>
        <v>363.96704799999998</v>
      </c>
    </row>
    <row r="1005" spans="1:14" x14ac:dyDescent="0.35">
      <c r="A1005" s="7" t="s">
        <v>1088</v>
      </c>
      <c r="B1005" s="8">
        <v>45981</v>
      </c>
      <c r="C1005" s="7" t="s">
        <v>52</v>
      </c>
      <c r="D1005" s="7" t="s">
        <v>66</v>
      </c>
      <c r="E1005" s="7" t="s">
        <v>73</v>
      </c>
      <c r="F1005" s="7" t="s">
        <v>48</v>
      </c>
      <c r="G1005" s="7" t="s">
        <v>55</v>
      </c>
      <c r="H1005" s="7" t="s">
        <v>56</v>
      </c>
      <c r="I1005" s="7">
        <v>2</v>
      </c>
      <c r="J1005" s="9">
        <v>39.39</v>
      </c>
      <c r="K1005" s="10">
        <v>4.3499999999999997E-2</v>
      </c>
      <c r="L1005" s="9">
        <f t="shared" si="30"/>
        <v>75.353070000000002</v>
      </c>
      <c r="M1005" s="9">
        <f>ROUND(L1005*0.6025,2)</f>
        <v>45.4</v>
      </c>
      <c r="N1005" s="9">
        <f t="shared" si="31"/>
        <v>29.953070000000004</v>
      </c>
    </row>
    <row r="1006" spans="1:14" x14ac:dyDescent="0.35">
      <c r="A1006" s="7" t="s">
        <v>1089</v>
      </c>
      <c r="B1006" s="8">
        <v>45981</v>
      </c>
      <c r="C1006" s="7" t="s">
        <v>52</v>
      </c>
      <c r="D1006" s="7" t="s">
        <v>40</v>
      </c>
      <c r="E1006" s="7" t="s">
        <v>139</v>
      </c>
      <c r="F1006" s="7" t="s">
        <v>59</v>
      </c>
      <c r="G1006" s="7" t="s">
        <v>43</v>
      </c>
      <c r="H1006" s="7" t="s">
        <v>71</v>
      </c>
      <c r="I1006" s="7">
        <v>5</v>
      </c>
      <c r="J1006" s="9">
        <v>320.06</v>
      </c>
      <c r="K1006" s="10">
        <v>0.16159999999999999</v>
      </c>
      <c r="L1006" s="9">
        <f t="shared" si="30"/>
        <v>1341.6915200000001</v>
      </c>
      <c r="M1006" s="9">
        <f>ROUND(L1006*0.6295,2)</f>
        <v>844.59</v>
      </c>
      <c r="N1006" s="9">
        <f t="shared" si="31"/>
        <v>497.10152000000005</v>
      </c>
    </row>
    <row r="1007" spans="1:14" x14ac:dyDescent="0.35">
      <c r="A1007" s="7" t="s">
        <v>1090</v>
      </c>
      <c r="B1007" s="8">
        <v>45981</v>
      </c>
      <c r="C1007" s="7" t="s">
        <v>52</v>
      </c>
      <c r="D1007" s="7" t="s">
        <v>53</v>
      </c>
      <c r="E1007" s="7" t="s">
        <v>87</v>
      </c>
      <c r="F1007" s="7" t="s">
        <v>48</v>
      </c>
      <c r="G1007" s="7" t="s">
        <v>55</v>
      </c>
      <c r="H1007" s="7" t="s">
        <v>56</v>
      </c>
      <c r="I1007" s="7">
        <v>1</v>
      </c>
      <c r="J1007" s="9">
        <v>906.52</v>
      </c>
      <c r="K1007" s="10">
        <v>5.7500000000000002E-2</v>
      </c>
      <c r="L1007" s="9">
        <f t="shared" si="30"/>
        <v>854.39509999999996</v>
      </c>
      <c r="M1007" s="9">
        <f>ROUND(L1007*0.7118,2)</f>
        <v>608.16</v>
      </c>
      <c r="N1007" s="9">
        <f t="shared" si="31"/>
        <v>246.23509999999999</v>
      </c>
    </row>
    <row r="1008" spans="1:14" x14ac:dyDescent="0.35">
      <c r="A1008" s="7" t="s">
        <v>1091</v>
      </c>
      <c r="B1008" s="8">
        <v>45981</v>
      </c>
      <c r="C1008" s="7" t="s">
        <v>52</v>
      </c>
      <c r="D1008" s="7" t="s">
        <v>53</v>
      </c>
      <c r="E1008" s="7" t="s">
        <v>54</v>
      </c>
      <c r="F1008" s="7" t="s">
        <v>59</v>
      </c>
      <c r="G1008" s="7" t="s">
        <v>49</v>
      </c>
      <c r="H1008" s="7" t="s">
        <v>83</v>
      </c>
      <c r="I1008" s="7">
        <v>9</v>
      </c>
      <c r="J1008" s="9">
        <v>1252.71</v>
      </c>
      <c r="K1008" s="10">
        <v>9.6799999999999997E-2</v>
      </c>
      <c r="L1008" s="9">
        <f t="shared" si="30"/>
        <v>10183.029048</v>
      </c>
      <c r="M1008" s="9">
        <f>ROUND(L1008*0.7344,2)</f>
        <v>7478.42</v>
      </c>
      <c r="N1008" s="9">
        <f t="shared" si="31"/>
        <v>2704.6090480000003</v>
      </c>
    </row>
    <row r="1009" spans="1:14" x14ac:dyDescent="0.35">
      <c r="A1009" s="7" t="s">
        <v>1092</v>
      </c>
      <c r="B1009" s="8">
        <v>45982</v>
      </c>
      <c r="C1009" s="7" t="s">
        <v>39</v>
      </c>
      <c r="D1009" s="7" t="s">
        <v>66</v>
      </c>
      <c r="E1009" s="7" t="s">
        <v>77</v>
      </c>
      <c r="F1009" s="7" t="s">
        <v>42</v>
      </c>
      <c r="G1009" s="7" t="s">
        <v>43</v>
      </c>
      <c r="H1009" s="7" t="s">
        <v>60</v>
      </c>
      <c r="I1009" s="7">
        <v>21</v>
      </c>
      <c r="J1009" s="9">
        <v>94.97</v>
      </c>
      <c r="K1009" s="10">
        <v>0.152</v>
      </c>
      <c r="L1009" s="9">
        <f t="shared" si="30"/>
        <v>1691.2257599999998</v>
      </c>
      <c r="M1009" s="9">
        <f>ROUND(L1009*0.5935,2)</f>
        <v>1003.74</v>
      </c>
      <c r="N1009" s="9">
        <f t="shared" si="31"/>
        <v>687.4857599999998</v>
      </c>
    </row>
    <row r="1010" spans="1:14" x14ac:dyDescent="0.35">
      <c r="A1010" s="7" t="s">
        <v>1093</v>
      </c>
      <c r="B1010" s="8">
        <v>45982</v>
      </c>
      <c r="C1010" s="7" t="s">
        <v>52</v>
      </c>
      <c r="D1010" s="7" t="s">
        <v>53</v>
      </c>
      <c r="E1010" s="7" t="s">
        <v>54</v>
      </c>
      <c r="F1010" s="7" t="s">
        <v>48</v>
      </c>
      <c r="G1010" s="7" t="s">
        <v>43</v>
      </c>
      <c r="H1010" s="7" t="s">
        <v>83</v>
      </c>
      <c r="I1010" s="7">
        <v>2</v>
      </c>
      <c r="J1010" s="9">
        <v>1298.54</v>
      </c>
      <c r="K1010" s="10">
        <v>5.8000000000000003E-2</v>
      </c>
      <c r="L1010" s="9">
        <f t="shared" si="30"/>
        <v>2446.4493599999996</v>
      </c>
      <c r="M1010" s="9">
        <f>ROUND(L1010*0.724,2)</f>
        <v>1771.23</v>
      </c>
      <c r="N1010" s="9">
        <f t="shared" si="31"/>
        <v>675.2193599999996</v>
      </c>
    </row>
    <row r="1011" spans="1:14" x14ac:dyDescent="0.35">
      <c r="A1011" s="7" t="s">
        <v>1094</v>
      </c>
      <c r="B1011" s="8">
        <v>45982</v>
      </c>
      <c r="C1011" s="7" t="s">
        <v>39</v>
      </c>
      <c r="D1011" s="7" t="s">
        <v>40</v>
      </c>
      <c r="E1011" s="7" t="s">
        <v>41</v>
      </c>
      <c r="F1011" s="7" t="s">
        <v>48</v>
      </c>
      <c r="G1011" s="7" t="s">
        <v>55</v>
      </c>
      <c r="H1011" s="7" t="s">
        <v>108</v>
      </c>
      <c r="I1011" s="7">
        <v>3</v>
      </c>
      <c r="J1011" s="9">
        <v>387.33</v>
      </c>
      <c r="K1011" s="10">
        <v>3.39E-2</v>
      </c>
      <c r="L1011" s="9">
        <f t="shared" si="30"/>
        <v>1122.5985390000001</v>
      </c>
      <c r="M1011" s="9">
        <f>ROUND(L1011*0.6402,2)</f>
        <v>718.69</v>
      </c>
      <c r="N1011" s="9">
        <f t="shared" si="31"/>
        <v>403.90853900000002</v>
      </c>
    </row>
    <row r="1012" spans="1:14" x14ac:dyDescent="0.35">
      <c r="A1012" s="7" t="s">
        <v>1095</v>
      </c>
      <c r="B1012" s="8">
        <v>45982</v>
      </c>
      <c r="C1012" s="7" t="s">
        <v>46</v>
      </c>
      <c r="D1012" s="7" t="s">
        <v>53</v>
      </c>
      <c r="E1012" s="7" t="s">
        <v>105</v>
      </c>
      <c r="F1012" s="7" t="s">
        <v>48</v>
      </c>
      <c r="G1012" s="7" t="s">
        <v>55</v>
      </c>
      <c r="H1012" s="7" t="s">
        <v>74</v>
      </c>
      <c r="I1012" s="7">
        <v>2</v>
      </c>
      <c r="J1012" s="9">
        <v>456.6</v>
      </c>
      <c r="K1012" s="10">
        <v>2.4899999999999999E-2</v>
      </c>
      <c r="L1012" s="9">
        <f t="shared" si="30"/>
        <v>890.46132</v>
      </c>
      <c r="M1012" s="9">
        <f>ROUND(L1012*0.7337,2)</f>
        <v>653.33000000000004</v>
      </c>
      <c r="N1012" s="9">
        <f t="shared" si="31"/>
        <v>237.13131999999996</v>
      </c>
    </row>
    <row r="1013" spans="1:14" x14ac:dyDescent="0.35">
      <c r="A1013" s="7" t="s">
        <v>1096</v>
      </c>
      <c r="B1013" s="8">
        <v>45983</v>
      </c>
      <c r="C1013" s="7" t="s">
        <v>52</v>
      </c>
      <c r="D1013" s="7" t="s">
        <v>40</v>
      </c>
      <c r="E1013" s="7" t="s">
        <v>91</v>
      </c>
      <c r="F1013" s="7" t="s">
        <v>48</v>
      </c>
      <c r="G1013" s="7" t="s">
        <v>55</v>
      </c>
      <c r="H1013" s="7" t="s">
        <v>56</v>
      </c>
      <c r="I1013" s="7">
        <v>3</v>
      </c>
      <c r="J1013" s="9">
        <v>130.44</v>
      </c>
      <c r="K1013" s="10">
        <v>3.1899999999999998E-2</v>
      </c>
      <c r="L1013" s="9">
        <f t="shared" si="30"/>
        <v>378.83689199999998</v>
      </c>
      <c r="M1013" s="9">
        <f>ROUND(L1013*0.6567,2)</f>
        <v>248.78</v>
      </c>
      <c r="N1013" s="9">
        <f t="shared" si="31"/>
        <v>130.05689199999998</v>
      </c>
    </row>
    <row r="1014" spans="1:14" x14ac:dyDescent="0.35">
      <c r="A1014" s="7" t="s">
        <v>1097</v>
      </c>
      <c r="B1014" s="8">
        <v>45983</v>
      </c>
      <c r="C1014" s="7" t="s">
        <v>39</v>
      </c>
      <c r="D1014" s="7" t="s">
        <v>69</v>
      </c>
      <c r="E1014" s="7" t="s">
        <v>119</v>
      </c>
      <c r="F1014" s="7" t="s">
        <v>42</v>
      </c>
      <c r="G1014" s="7" t="s">
        <v>43</v>
      </c>
      <c r="H1014" s="7" t="s">
        <v>60</v>
      </c>
      <c r="I1014" s="7">
        <v>28</v>
      </c>
      <c r="J1014" s="9">
        <v>202.48</v>
      </c>
      <c r="K1014" s="10">
        <v>0.13650000000000001</v>
      </c>
      <c r="L1014" s="9">
        <f t="shared" si="30"/>
        <v>4895.5614399999995</v>
      </c>
      <c r="M1014" s="9">
        <f>ROUND(L1014*0.2141,2)</f>
        <v>1048.1400000000001</v>
      </c>
      <c r="N1014" s="9">
        <f t="shared" si="31"/>
        <v>3847.4214399999992</v>
      </c>
    </row>
    <row r="1015" spans="1:14" x14ac:dyDescent="0.35">
      <c r="A1015" s="7" t="s">
        <v>1098</v>
      </c>
      <c r="B1015" s="8">
        <v>45983</v>
      </c>
      <c r="C1015" s="7" t="s">
        <v>46</v>
      </c>
      <c r="D1015" s="7" t="s">
        <v>40</v>
      </c>
      <c r="E1015" s="7" t="s">
        <v>62</v>
      </c>
      <c r="F1015" s="7" t="s">
        <v>48</v>
      </c>
      <c r="G1015" s="7" t="s">
        <v>49</v>
      </c>
      <c r="H1015" s="7" t="s">
        <v>50</v>
      </c>
      <c r="I1015" s="7">
        <v>3</v>
      </c>
      <c r="J1015" s="9">
        <v>189.68</v>
      </c>
      <c r="K1015" s="10">
        <v>7.0099999999999996E-2</v>
      </c>
      <c r="L1015" s="9">
        <f t="shared" si="30"/>
        <v>529.15029599999991</v>
      </c>
      <c r="M1015" s="9">
        <f>ROUND(L1015*0.6217,2)</f>
        <v>328.97</v>
      </c>
      <c r="N1015" s="9">
        <f t="shared" si="31"/>
        <v>200.18029599999988</v>
      </c>
    </row>
    <row r="1016" spans="1:14" x14ac:dyDescent="0.35">
      <c r="A1016" s="7" t="s">
        <v>1099</v>
      </c>
      <c r="B1016" s="8">
        <v>45983</v>
      </c>
      <c r="C1016" s="7" t="s">
        <v>39</v>
      </c>
      <c r="D1016" s="7" t="s">
        <v>69</v>
      </c>
      <c r="E1016" s="7" t="s">
        <v>132</v>
      </c>
      <c r="F1016" s="7" t="s">
        <v>42</v>
      </c>
      <c r="G1016" s="7" t="s">
        <v>43</v>
      </c>
      <c r="H1016" s="7" t="s">
        <v>60</v>
      </c>
      <c r="I1016" s="7">
        <v>22</v>
      </c>
      <c r="J1016" s="9">
        <v>74.95</v>
      </c>
      <c r="K1016" s="10">
        <v>0.156</v>
      </c>
      <c r="L1016" s="9">
        <f t="shared" si="30"/>
        <v>1391.6716000000001</v>
      </c>
      <c r="M1016" s="9">
        <f>ROUND(L1016*0.2314,2)</f>
        <v>322.02999999999997</v>
      </c>
      <c r="N1016" s="9">
        <f t="shared" si="31"/>
        <v>1069.6416000000002</v>
      </c>
    </row>
    <row r="1017" spans="1:14" x14ac:dyDescent="0.35">
      <c r="A1017" s="7" t="s">
        <v>1100</v>
      </c>
      <c r="B1017" s="8">
        <v>45983</v>
      </c>
      <c r="C1017" s="7" t="s">
        <v>46</v>
      </c>
      <c r="D1017" s="7" t="s">
        <v>40</v>
      </c>
      <c r="E1017" s="7" t="s">
        <v>47</v>
      </c>
      <c r="F1017" s="7" t="s">
        <v>42</v>
      </c>
      <c r="G1017" s="7" t="s">
        <v>43</v>
      </c>
      <c r="H1017" s="7" t="s">
        <v>95</v>
      </c>
      <c r="I1017" s="7">
        <v>38</v>
      </c>
      <c r="J1017" s="9">
        <v>247.2</v>
      </c>
      <c r="K1017" s="10">
        <v>0.16289999999999999</v>
      </c>
      <c r="L1017" s="9">
        <f t="shared" si="30"/>
        <v>7863.38256</v>
      </c>
      <c r="M1017" s="9">
        <f>ROUND(L1017*0.6227,2)</f>
        <v>4896.53</v>
      </c>
      <c r="N1017" s="9">
        <f t="shared" si="31"/>
        <v>2966.8525600000003</v>
      </c>
    </row>
    <row r="1018" spans="1:14" x14ac:dyDescent="0.35">
      <c r="A1018" s="7" t="s">
        <v>1101</v>
      </c>
      <c r="B1018" s="8">
        <v>45983</v>
      </c>
      <c r="C1018" s="7" t="s">
        <v>39</v>
      </c>
      <c r="D1018" s="7" t="s">
        <v>69</v>
      </c>
      <c r="E1018" s="7" t="s">
        <v>119</v>
      </c>
      <c r="F1018" s="7" t="s">
        <v>59</v>
      </c>
      <c r="G1018" s="7" t="s">
        <v>49</v>
      </c>
      <c r="H1018" s="7" t="s">
        <v>44</v>
      </c>
      <c r="I1018" s="7">
        <v>10</v>
      </c>
      <c r="J1018" s="9">
        <v>193.06</v>
      </c>
      <c r="K1018" s="10">
        <v>7.4399999999999994E-2</v>
      </c>
      <c r="L1018" s="9">
        <f t="shared" si="30"/>
        <v>1786.96336</v>
      </c>
      <c r="M1018" s="9">
        <f>ROUND(L1018*0.2357,2)</f>
        <v>421.19</v>
      </c>
      <c r="N1018" s="9">
        <f t="shared" si="31"/>
        <v>1365.7733599999999</v>
      </c>
    </row>
    <row r="1019" spans="1:14" x14ac:dyDescent="0.35">
      <c r="A1019" s="7" t="s">
        <v>1102</v>
      </c>
      <c r="B1019" s="8">
        <v>45984</v>
      </c>
      <c r="C1019" s="7" t="s">
        <v>39</v>
      </c>
      <c r="D1019" s="7" t="s">
        <v>53</v>
      </c>
      <c r="E1019" s="7" t="s">
        <v>105</v>
      </c>
      <c r="F1019" s="7" t="s">
        <v>48</v>
      </c>
      <c r="G1019" s="7" t="s">
        <v>49</v>
      </c>
      <c r="H1019" s="7" t="s">
        <v>44</v>
      </c>
      <c r="I1019" s="7">
        <v>1</v>
      </c>
      <c r="J1019" s="9">
        <v>442.55</v>
      </c>
      <c r="K1019" s="10">
        <v>6.7799999999999999E-2</v>
      </c>
      <c r="L1019" s="9">
        <f t="shared" si="30"/>
        <v>412.54511000000002</v>
      </c>
      <c r="M1019" s="9">
        <f>ROUND(L1019*0.6844,2)</f>
        <v>282.35000000000002</v>
      </c>
      <c r="N1019" s="9">
        <f t="shared" si="31"/>
        <v>130.19511</v>
      </c>
    </row>
    <row r="1020" spans="1:14" x14ac:dyDescent="0.35">
      <c r="A1020" s="7" t="s">
        <v>1103</v>
      </c>
      <c r="B1020" s="8">
        <v>45984</v>
      </c>
      <c r="C1020" s="7" t="s">
        <v>52</v>
      </c>
      <c r="D1020" s="7" t="s">
        <v>69</v>
      </c>
      <c r="E1020" s="7" t="s">
        <v>113</v>
      </c>
      <c r="F1020" s="7" t="s">
        <v>59</v>
      </c>
      <c r="G1020" s="7" t="s">
        <v>55</v>
      </c>
      <c r="H1020" s="7" t="s">
        <v>56</v>
      </c>
      <c r="I1020" s="7">
        <v>8</v>
      </c>
      <c r="J1020" s="9">
        <v>256.87</v>
      </c>
      <c r="K1020" s="10">
        <v>5.28E-2</v>
      </c>
      <c r="L1020" s="9">
        <f t="shared" si="30"/>
        <v>1946.458112</v>
      </c>
      <c r="M1020" s="9">
        <f>ROUND(L1020*0.253,2)</f>
        <v>492.45</v>
      </c>
      <c r="N1020" s="9">
        <f t="shared" si="31"/>
        <v>1454.008112</v>
      </c>
    </row>
    <row r="1021" spans="1:14" x14ac:dyDescent="0.35">
      <c r="A1021" s="7" t="s">
        <v>1104</v>
      </c>
      <c r="B1021" s="8">
        <v>45984</v>
      </c>
      <c r="C1021" s="7" t="s">
        <v>39</v>
      </c>
      <c r="D1021" s="7" t="s">
        <v>40</v>
      </c>
      <c r="E1021" s="7" t="s">
        <v>91</v>
      </c>
      <c r="F1021" s="7" t="s">
        <v>48</v>
      </c>
      <c r="G1021" s="7" t="s">
        <v>55</v>
      </c>
      <c r="H1021" s="7" t="s">
        <v>108</v>
      </c>
      <c r="I1021" s="7">
        <v>3</v>
      </c>
      <c r="J1021" s="9">
        <v>123.92</v>
      </c>
      <c r="K1021" s="10">
        <v>6.9000000000000006E-2</v>
      </c>
      <c r="L1021" s="9">
        <f t="shared" si="30"/>
        <v>346.10856000000001</v>
      </c>
      <c r="M1021" s="9">
        <f>ROUND(L1021*0.6421,2)</f>
        <v>222.24</v>
      </c>
      <c r="N1021" s="9">
        <f t="shared" si="31"/>
        <v>123.86856</v>
      </c>
    </row>
    <row r="1022" spans="1:14" x14ac:dyDescent="0.35">
      <c r="A1022" s="7" t="s">
        <v>1105</v>
      </c>
      <c r="B1022" s="8">
        <v>45984</v>
      </c>
      <c r="C1022" s="7" t="s">
        <v>46</v>
      </c>
      <c r="D1022" s="7" t="s">
        <v>69</v>
      </c>
      <c r="E1022" s="7" t="s">
        <v>119</v>
      </c>
      <c r="F1022" s="7" t="s">
        <v>42</v>
      </c>
      <c r="G1022" s="7" t="s">
        <v>43</v>
      </c>
      <c r="H1022" s="7" t="s">
        <v>50</v>
      </c>
      <c r="I1022" s="7">
        <v>27</v>
      </c>
      <c r="J1022" s="9">
        <v>193.56</v>
      </c>
      <c r="K1022" s="10">
        <v>0.17979999999999999</v>
      </c>
      <c r="L1022" s="9">
        <f t="shared" si="30"/>
        <v>4286.463624</v>
      </c>
      <c r="M1022" s="9">
        <f>ROUND(L1022*0.2154,2)</f>
        <v>923.3</v>
      </c>
      <c r="N1022" s="9">
        <f t="shared" si="31"/>
        <v>3363.1636239999998</v>
      </c>
    </row>
    <row r="1023" spans="1:14" x14ac:dyDescent="0.35">
      <c r="A1023" s="7" t="s">
        <v>1106</v>
      </c>
      <c r="B1023" s="8">
        <v>45984</v>
      </c>
      <c r="C1023" s="7" t="s">
        <v>76</v>
      </c>
      <c r="D1023" s="7" t="s">
        <v>53</v>
      </c>
      <c r="E1023" s="7" t="s">
        <v>81</v>
      </c>
      <c r="F1023" s="7" t="s">
        <v>42</v>
      </c>
      <c r="G1023" s="7" t="s">
        <v>55</v>
      </c>
      <c r="H1023" s="7" t="s">
        <v>78</v>
      </c>
      <c r="I1023" s="7">
        <v>27</v>
      </c>
      <c r="J1023" s="9">
        <v>1119.57</v>
      </c>
      <c r="K1023" s="10">
        <v>7.4499999999999997E-2</v>
      </c>
      <c r="L1023" s="9">
        <f t="shared" si="30"/>
        <v>27976.374945</v>
      </c>
      <c r="M1023" s="9">
        <f>ROUND(L1023*0.7355,2)</f>
        <v>20576.62</v>
      </c>
      <c r="N1023" s="9">
        <f t="shared" si="31"/>
        <v>7399.7549450000006</v>
      </c>
    </row>
    <row r="1024" spans="1:14" x14ac:dyDescent="0.35">
      <c r="A1024" s="7" t="s">
        <v>1107</v>
      </c>
      <c r="B1024" s="8">
        <v>45984</v>
      </c>
      <c r="C1024" s="7" t="s">
        <v>39</v>
      </c>
      <c r="D1024" s="7" t="s">
        <v>53</v>
      </c>
      <c r="E1024" s="7" t="s">
        <v>87</v>
      </c>
      <c r="F1024" s="7" t="s">
        <v>59</v>
      </c>
      <c r="G1024" s="7" t="s">
        <v>49</v>
      </c>
      <c r="H1024" s="7" t="s">
        <v>44</v>
      </c>
      <c r="I1024" s="7">
        <v>9</v>
      </c>
      <c r="J1024" s="9">
        <v>857.96</v>
      </c>
      <c r="K1024" s="10">
        <v>8.5400000000000004E-2</v>
      </c>
      <c r="L1024" s="9">
        <f t="shared" si="30"/>
        <v>7062.2119439999997</v>
      </c>
      <c r="M1024" s="9">
        <f>ROUND(L1024*0.6995,2)</f>
        <v>4940.0200000000004</v>
      </c>
      <c r="N1024" s="9">
        <f t="shared" si="31"/>
        <v>2122.1919439999992</v>
      </c>
    </row>
    <row r="1025" spans="1:14" x14ac:dyDescent="0.35">
      <c r="A1025" s="7" t="s">
        <v>1108</v>
      </c>
      <c r="B1025" s="8">
        <v>45984</v>
      </c>
      <c r="C1025" s="7" t="s">
        <v>39</v>
      </c>
      <c r="D1025" s="7" t="s">
        <v>69</v>
      </c>
      <c r="E1025" s="7" t="s">
        <v>107</v>
      </c>
      <c r="F1025" s="7" t="s">
        <v>42</v>
      </c>
      <c r="G1025" s="7" t="s">
        <v>43</v>
      </c>
      <c r="H1025" s="7" t="s">
        <v>60</v>
      </c>
      <c r="I1025" s="7">
        <v>39</v>
      </c>
      <c r="J1025" s="9">
        <v>55.8</v>
      </c>
      <c r="K1025" s="10">
        <v>0.2046</v>
      </c>
      <c r="L1025" s="9">
        <f t="shared" si="30"/>
        <v>1730.9494799999998</v>
      </c>
      <c r="M1025" s="9">
        <f>ROUND(L1025*0.2423,2)</f>
        <v>419.41</v>
      </c>
      <c r="N1025" s="9">
        <f t="shared" si="31"/>
        <v>1311.5394799999997</v>
      </c>
    </row>
    <row r="1026" spans="1:14" x14ac:dyDescent="0.35">
      <c r="A1026" s="7" t="s">
        <v>1109</v>
      </c>
      <c r="B1026" s="8">
        <v>45984</v>
      </c>
      <c r="C1026" s="7" t="s">
        <v>52</v>
      </c>
      <c r="D1026" s="7" t="s">
        <v>66</v>
      </c>
      <c r="E1026" s="7" t="s">
        <v>98</v>
      </c>
      <c r="F1026" s="7" t="s">
        <v>42</v>
      </c>
      <c r="G1026" s="7" t="s">
        <v>55</v>
      </c>
      <c r="H1026" s="7" t="s">
        <v>56</v>
      </c>
      <c r="I1026" s="7">
        <v>14</v>
      </c>
      <c r="J1026" s="9">
        <v>28</v>
      </c>
      <c r="K1026" s="10">
        <v>6.6600000000000006E-2</v>
      </c>
      <c r="L1026" s="9">
        <f t="shared" ref="L1026:L1089" si="32">I1026*J1026*(1-K1026)</f>
        <v>365.89280000000002</v>
      </c>
      <c r="M1026" s="9">
        <f>ROUND(L1026*0.5815,2)</f>
        <v>212.77</v>
      </c>
      <c r="N1026" s="9">
        <f t="shared" ref="N1026:N1089" si="33">L1026-M1026</f>
        <v>153.12280000000001</v>
      </c>
    </row>
    <row r="1027" spans="1:14" x14ac:dyDescent="0.35">
      <c r="A1027" s="7" t="s">
        <v>1110</v>
      </c>
      <c r="B1027" s="8">
        <v>45984</v>
      </c>
      <c r="C1027" s="7" t="s">
        <v>52</v>
      </c>
      <c r="D1027" s="7" t="s">
        <v>69</v>
      </c>
      <c r="E1027" s="7" t="s">
        <v>107</v>
      </c>
      <c r="F1027" s="7" t="s">
        <v>59</v>
      </c>
      <c r="G1027" s="7" t="s">
        <v>55</v>
      </c>
      <c r="H1027" s="7" t="s">
        <v>56</v>
      </c>
      <c r="I1027" s="7">
        <v>3</v>
      </c>
      <c r="J1027" s="9">
        <v>61</v>
      </c>
      <c r="K1027" s="10">
        <v>7.7600000000000002E-2</v>
      </c>
      <c r="L1027" s="9">
        <f t="shared" si="32"/>
        <v>168.79920000000001</v>
      </c>
      <c r="M1027" s="9">
        <f>ROUND(L1027*0.2614,2)</f>
        <v>44.12</v>
      </c>
      <c r="N1027" s="9">
        <f t="shared" si="33"/>
        <v>124.67920000000001</v>
      </c>
    </row>
    <row r="1028" spans="1:14" x14ac:dyDescent="0.35">
      <c r="A1028" s="7" t="s">
        <v>1111</v>
      </c>
      <c r="B1028" s="8">
        <v>45985</v>
      </c>
      <c r="C1028" s="7" t="s">
        <v>76</v>
      </c>
      <c r="D1028" s="7" t="s">
        <v>53</v>
      </c>
      <c r="E1028" s="7" t="s">
        <v>81</v>
      </c>
      <c r="F1028" s="7" t="s">
        <v>42</v>
      </c>
      <c r="G1028" s="7" t="s">
        <v>55</v>
      </c>
      <c r="H1028" s="7" t="s">
        <v>78</v>
      </c>
      <c r="I1028" s="7">
        <v>18</v>
      </c>
      <c r="J1028" s="9">
        <v>1142.17</v>
      </c>
      <c r="K1028" s="10">
        <v>9.0200000000000002E-2</v>
      </c>
      <c r="L1028" s="9">
        <f t="shared" si="32"/>
        <v>18704.632787999999</v>
      </c>
      <c r="M1028" s="9">
        <f>ROUND(L1028*0.7002,2)</f>
        <v>13096.98</v>
      </c>
      <c r="N1028" s="9">
        <f t="shared" si="33"/>
        <v>5607.6527879999994</v>
      </c>
    </row>
    <row r="1029" spans="1:14" x14ac:dyDescent="0.35">
      <c r="A1029" s="7" t="s">
        <v>1112</v>
      </c>
      <c r="B1029" s="8">
        <v>45985</v>
      </c>
      <c r="C1029" s="7" t="s">
        <v>46</v>
      </c>
      <c r="D1029" s="7" t="s">
        <v>66</v>
      </c>
      <c r="E1029" s="7" t="s">
        <v>73</v>
      </c>
      <c r="F1029" s="7" t="s">
        <v>48</v>
      </c>
      <c r="G1029" s="7" t="s">
        <v>55</v>
      </c>
      <c r="H1029" s="7" t="s">
        <v>74</v>
      </c>
      <c r="I1029" s="7">
        <v>1</v>
      </c>
      <c r="J1029" s="9">
        <v>39.99</v>
      </c>
      <c r="K1029" s="10">
        <v>3.1899999999999998E-2</v>
      </c>
      <c r="L1029" s="9">
        <f t="shared" si="32"/>
        <v>38.714319000000003</v>
      </c>
      <c r="M1029" s="9">
        <f>ROUND(L1029*0.5613,2)</f>
        <v>21.73</v>
      </c>
      <c r="N1029" s="9">
        <f t="shared" si="33"/>
        <v>16.984319000000003</v>
      </c>
    </row>
    <row r="1030" spans="1:14" x14ac:dyDescent="0.35">
      <c r="A1030" s="7" t="s">
        <v>1113</v>
      </c>
      <c r="B1030" s="8">
        <v>45986</v>
      </c>
      <c r="C1030" s="7" t="s">
        <v>39</v>
      </c>
      <c r="D1030" s="7" t="s">
        <v>66</v>
      </c>
      <c r="E1030" s="7" t="s">
        <v>98</v>
      </c>
      <c r="F1030" s="7" t="s">
        <v>42</v>
      </c>
      <c r="G1030" s="7" t="s">
        <v>49</v>
      </c>
      <c r="H1030" s="7" t="s">
        <v>60</v>
      </c>
      <c r="I1030" s="7">
        <v>14</v>
      </c>
      <c r="J1030" s="9">
        <v>28.35</v>
      </c>
      <c r="K1030" s="10">
        <v>0.13239999999999999</v>
      </c>
      <c r="L1030" s="9">
        <f t="shared" si="32"/>
        <v>344.35044000000005</v>
      </c>
      <c r="M1030" s="9">
        <f>ROUND(L1030*0.5918,2)</f>
        <v>203.79</v>
      </c>
      <c r="N1030" s="9">
        <f t="shared" si="33"/>
        <v>140.56044000000006</v>
      </c>
    </row>
    <row r="1031" spans="1:14" x14ac:dyDescent="0.35">
      <c r="A1031" s="7" t="s">
        <v>1114</v>
      </c>
      <c r="B1031" s="8">
        <v>45986</v>
      </c>
      <c r="C1031" s="7" t="s">
        <v>39</v>
      </c>
      <c r="D1031" s="7" t="s">
        <v>40</v>
      </c>
      <c r="E1031" s="7" t="s">
        <v>47</v>
      </c>
      <c r="F1031" s="7" t="s">
        <v>42</v>
      </c>
      <c r="G1031" s="7" t="s">
        <v>43</v>
      </c>
      <c r="H1031" s="7" t="s">
        <v>60</v>
      </c>
      <c r="I1031" s="7">
        <v>28</v>
      </c>
      <c r="J1031" s="9">
        <v>251.88</v>
      </c>
      <c r="K1031" s="10">
        <v>0.17199999999999999</v>
      </c>
      <c r="L1031" s="9">
        <f t="shared" si="32"/>
        <v>5839.5859200000004</v>
      </c>
      <c r="M1031" s="9">
        <f>ROUND(L1031*0.6232,2)</f>
        <v>3639.23</v>
      </c>
      <c r="N1031" s="9">
        <f t="shared" si="33"/>
        <v>2200.3559200000004</v>
      </c>
    </row>
    <row r="1032" spans="1:14" x14ac:dyDescent="0.35">
      <c r="A1032" s="7" t="s">
        <v>1115</v>
      </c>
      <c r="B1032" s="8">
        <v>45986</v>
      </c>
      <c r="C1032" s="7" t="s">
        <v>52</v>
      </c>
      <c r="D1032" s="7" t="s">
        <v>69</v>
      </c>
      <c r="E1032" s="7" t="s">
        <v>70</v>
      </c>
      <c r="F1032" s="7" t="s">
        <v>42</v>
      </c>
      <c r="G1032" s="7" t="s">
        <v>43</v>
      </c>
      <c r="H1032" s="7" t="s">
        <v>71</v>
      </c>
      <c r="I1032" s="7">
        <v>24</v>
      </c>
      <c r="J1032" s="9">
        <v>150.34</v>
      </c>
      <c r="K1032" s="10">
        <v>0.1406</v>
      </c>
      <c r="L1032" s="9">
        <f t="shared" si="32"/>
        <v>3100.8527039999994</v>
      </c>
      <c r="M1032" s="9">
        <f>ROUND(L1032*0.2431,2)</f>
        <v>753.82</v>
      </c>
      <c r="N1032" s="9">
        <f t="shared" si="33"/>
        <v>2347.0327039999993</v>
      </c>
    </row>
    <row r="1033" spans="1:14" x14ac:dyDescent="0.35">
      <c r="A1033" s="7" t="s">
        <v>1116</v>
      </c>
      <c r="B1033" s="8">
        <v>45986</v>
      </c>
      <c r="C1033" s="7" t="s">
        <v>46</v>
      </c>
      <c r="D1033" s="7" t="s">
        <v>53</v>
      </c>
      <c r="E1033" s="7" t="s">
        <v>58</v>
      </c>
      <c r="F1033" s="7" t="s">
        <v>48</v>
      </c>
      <c r="G1033" s="7" t="s">
        <v>49</v>
      </c>
      <c r="H1033" s="7" t="s">
        <v>95</v>
      </c>
      <c r="I1033" s="7">
        <v>1</v>
      </c>
      <c r="J1033" s="9">
        <v>657.05</v>
      </c>
      <c r="K1033" s="10">
        <v>1.9400000000000001E-2</v>
      </c>
      <c r="L1033" s="9">
        <f t="shared" si="32"/>
        <v>644.30322999999999</v>
      </c>
      <c r="M1033" s="9">
        <f>ROUND(L1033*0.7236,2)</f>
        <v>466.22</v>
      </c>
      <c r="N1033" s="9">
        <f t="shared" si="33"/>
        <v>178.08322999999996</v>
      </c>
    </row>
    <row r="1034" spans="1:14" x14ac:dyDescent="0.35">
      <c r="A1034" s="7" t="s">
        <v>1117</v>
      </c>
      <c r="B1034" s="8">
        <v>45986</v>
      </c>
      <c r="C1034" s="7" t="s">
        <v>46</v>
      </c>
      <c r="D1034" s="7" t="s">
        <v>69</v>
      </c>
      <c r="E1034" s="7" t="s">
        <v>113</v>
      </c>
      <c r="F1034" s="7" t="s">
        <v>42</v>
      </c>
      <c r="G1034" s="7" t="s">
        <v>55</v>
      </c>
      <c r="H1034" s="7" t="s">
        <v>74</v>
      </c>
      <c r="I1034" s="7">
        <v>18</v>
      </c>
      <c r="J1034" s="9">
        <v>247.47</v>
      </c>
      <c r="K1034" s="10">
        <v>9.8799999999999999E-2</v>
      </c>
      <c r="L1034" s="9">
        <f t="shared" si="32"/>
        <v>4014.3593519999999</v>
      </c>
      <c r="M1034" s="9">
        <f>ROUND(L1034*0.21,2)</f>
        <v>843.02</v>
      </c>
      <c r="N1034" s="9">
        <f t="shared" si="33"/>
        <v>3171.339352</v>
      </c>
    </row>
    <row r="1035" spans="1:14" x14ac:dyDescent="0.35">
      <c r="A1035" s="7" t="s">
        <v>1118</v>
      </c>
      <c r="B1035" s="8">
        <v>45987</v>
      </c>
      <c r="C1035" s="7" t="s">
        <v>52</v>
      </c>
      <c r="D1035" s="7" t="s">
        <v>53</v>
      </c>
      <c r="E1035" s="7" t="s">
        <v>87</v>
      </c>
      <c r="F1035" s="7" t="s">
        <v>59</v>
      </c>
      <c r="G1035" s="7" t="s">
        <v>49</v>
      </c>
      <c r="H1035" s="7" t="s">
        <v>83</v>
      </c>
      <c r="I1035" s="7">
        <v>5</v>
      </c>
      <c r="J1035" s="9">
        <v>855.22</v>
      </c>
      <c r="K1035" s="10">
        <v>0.06</v>
      </c>
      <c r="L1035" s="9">
        <f t="shared" si="32"/>
        <v>4019.5340000000001</v>
      </c>
      <c r="M1035" s="9">
        <f>ROUND(L1035*0.7228,2)</f>
        <v>2905.32</v>
      </c>
      <c r="N1035" s="9">
        <f t="shared" si="33"/>
        <v>1114.2139999999999</v>
      </c>
    </row>
    <row r="1036" spans="1:14" x14ac:dyDescent="0.35">
      <c r="A1036" s="7" t="s">
        <v>1119</v>
      </c>
      <c r="B1036" s="8">
        <v>45987</v>
      </c>
      <c r="C1036" s="7" t="s">
        <v>46</v>
      </c>
      <c r="D1036" s="7" t="s">
        <v>69</v>
      </c>
      <c r="E1036" s="7" t="s">
        <v>107</v>
      </c>
      <c r="F1036" s="7" t="s">
        <v>48</v>
      </c>
      <c r="G1036" s="7" t="s">
        <v>49</v>
      </c>
      <c r="H1036" s="7" t="s">
        <v>95</v>
      </c>
      <c r="I1036" s="7">
        <v>3</v>
      </c>
      <c r="J1036" s="9">
        <v>57.93</v>
      </c>
      <c r="K1036" s="10">
        <v>7.8E-2</v>
      </c>
      <c r="L1036" s="9">
        <f t="shared" si="32"/>
        <v>160.23437999999999</v>
      </c>
      <c r="M1036" s="9">
        <f>ROUND(L1036*0.2172,2)</f>
        <v>34.799999999999997</v>
      </c>
      <c r="N1036" s="9">
        <f t="shared" si="33"/>
        <v>125.43437999999999</v>
      </c>
    </row>
    <row r="1037" spans="1:14" x14ac:dyDescent="0.35">
      <c r="A1037" s="7" t="s">
        <v>1120</v>
      </c>
      <c r="B1037" s="8">
        <v>45987</v>
      </c>
      <c r="C1037" s="7" t="s">
        <v>46</v>
      </c>
      <c r="D1037" s="7" t="s">
        <v>66</v>
      </c>
      <c r="E1037" s="7" t="s">
        <v>73</v>
      </c>
      <c r="F1037" s="7" t="s">
        <v>42</v>
      </c>
      <c r="G1037" s="7" t="s">
        <v>43</v>
      </c>
      <c r="H1037" s="7" t="s">
        <v>50</v>
      </c>
      <c r="I1037" s="7">
        <v>39</v>
      </c>
      <c r="J1037" s="9">
        <v>38.270000000000003</v>
      </c>
      <c r="K1037" s="10">
        <v>0.21129999999999999</v>
      </c>
      <c r="L1037" s="9">
        <f t="shared" si="32"/>
        <v>1177.1584110000001</v>
      </c>
      <c r="M1037" s="9">
        <f>ROUND(L1037*0.6033,2)</f>
        <v>710.18</v>
      </c>
      <c r="N1037" s="9">
        <f t="shared" si="33"/>
        <v>466.97841100000016</v>
      </c>
    </row>
    <row r="1038" spans="1:14" x14ac:dyDescent="0.35">
      <c r="A1038" s="7" t="s">
        <v>1121</v>
      </c>
      <c r="B1038" s="8">
        <v>45988</v>
      </c>
      <c r="C1038" s="7" t="s">
        <v>39</v>
      </c>
      <c r="D1038" s="7" t="s">
        <v>69</v>
      </c>
      <c r="E1038" s="7" t="s">
        <v>119</v>
      </c>
      <c r="F1038" s="7" t="s">
        <v>48</v>
      </c>
      <c r="G1038" s="7" t="s">
        <v>55</v>
      </c>
      <c r="H1038" s="7" t="s">
        <v>108</v>
      </c>
      <c r="I1038" s="7">
        <v>2</v>
      </c>
      <c r="J1038" s="9">
        <v>193.52</v>
      </c>
      <c r="K1038" s="10">
        <v>2.87E-2</v>
      </c>
      <c r="L1038" s="9">
        <f t="shared" si="32"/>
        <v>375.93195200000002</v>
      </c>
      <c r="M1038" s="9">
        <f>ROUND(L1038*0.2536,2)</f>
        <v>95.34</v>
      </c>
      <c r="N1038" s="9">
        <f t="shared" si="33"/>
        <v>280.59195199999999</v>
      </c>
    </row>
    <row r="1039" spans="1:14" x14ac:dyDescent="0.35">
      <c r="A1039" s="7" t="s">
        <v>1122</v>
      </c>
      <c r="B1039" s="8">
        <v>45988</v>
      </c>
      <c r="C1039" s="7" t="s">
        <v>52</v>
      </c>
      <c r="D1039" s="7" t="s">
        <v>69</v>
      </c>
      <c r="E1039" s="7" t="s">
        <v>119</v>
      </c>
      <c r="F1039" s="7" t="s">
        <v>59</v>
      </c>
      <c r="G1039" s="7" t="s">
        <v>43</v>
      </c>
      <c r="H1039" s="7" t="s">
        <v>71</v>
      </c>
      <c r="I1039" s="7">
        <v>4</v>
      </c>
      <c r="J1039" s="9">
        <v>190.04</v>
      </c>
      <c r="K1039" s="10">
        <v>0.17349999999999999</v>
      </c>
      <c r="L1039" s="9">
        <f t="shared" si="32"/>
        <v>628.27224000000001</v>
      </c>
      <c r="M1039" s="9">
        <f>ROUND(L1039*0.2208,2)</f>
        <v>138.72</v>
      </c>
      <c r="N1039" s="9">
        <f t="shared" si="33"/>
        <v>489.55223999999998</v>
      </c>
    </row>
    <row r="1040" spans="1:14" x14ac:dyDescent="0.35">
      <c r="A1040" s="7" t="s">
        <v>1123</v>
      </c>
      <c r="B1040" s="8">
        <v>45988</v>
      </c>
      <c r="C1040" s="7" t="s">
        <v>39</v>
      </c>
      <c r="D1040" s="7" t="s">
        <v>69</v>
      </c>
      <c r="E1040" s="7" t="s">
        <v>132</v>
      </c>
      <c r="F1040" s="7" t="s">
        <v>48</v>
      </c>
      <c r="G1040" s="7" t="s">
        <v>49</v>
      </c>
      <c r="H1040" s="7" t="s">
        <v>60</v>
      </c>
      <c r="I1040" s="7">
        <v>1</v>
      </c>
      <c r="J1040" s="9">
        <v>74.040000000000006</v>
      </c>
      <c r="K1040" s="10">
        <v>7.1499999999999994E-2</v>
      </c>
      <c r="L1040" s="9">
        <f t="shared" si="32"/>
        <v>68.746140000000011</v>
      </c>
      <c r="M1040" s="9">
        <f>ROUND(L1040*0.2588,2)</f>
        <v>17.79</v>
      </c>
      <c r="N1040" s="9">
        <f t="shared" si="33"/>
        <v>50.956140000000012</v>
      </c>
    </row>
    <row r="1041" spans="1:14" x14ac:dyDescent="0.35">
      <c r="A1041" s="7" t="s">
        <v>1124</v>
      </c>
      <c r="B1041" s="8">
        <v>45989</v>
      </c>
      <c r="C1041" s="7" t="s">
        <v>52</v>
      </c>
      <c r="D1041" s="7" t="s">
        <v>53</v>
      </c>
      <c r="E1041" s="7" t="s">
        <v>54</v>
      </c>
      <c r="F1041" s="7" t="s">
        <v>48</v>
      </c>
      <c r="G1041" s="7" t="s">
        <v>55</v>
      </c>
      <c r="H1041" s="7" t="s">
        <v>56</v>
      </c>
      <c r="I1041" s="7">
        <v>1</v>
      </c>
      <c r="J1041" s="9">
        <v>1253.23</v>
      </c>
      <c r="K1041" s="10">
        <v>2.01E-2</v>
      </c>
      <c r="L1041" s="9">
        <f t="shared" si="32"/>
        <v>1228.0400770000001</v>
      </c>
      <c r="M1041" s="9">
        <f>ROUND(L1041*0.7309,2)</f>
        <v>897.57</v>
      </c>
      <c r="N1041" s="9">
        <f t="shared" si="33"/>
        <v>330.47007700000006</v>
      </c>
    </row>
    <row r="1042" spans="1:14" x14ac:dyDescent="0.35">
      <c r="A1042" s="7" t="s">
        <v>1125</v>
      </c>
      <c r="B1042" s="8">
        <v>45989</v>
      </c>
      <c r="C1042" s="7" t="s">
        <v>46</v>
      </c>
      <c r="D1042" s="7" t="s">
        <v>40</v>
      </c>
      <c r="E1042" s="7" t="s">
        <v>139</v>
      </c>
      <c r="F1042" s="7" t="s">
        <v>59</v>
      </c>
      <c r="G1042" s="7" t="s">
        <v>43</v>
      </c>
      <c r="H1042" s="7" t="s">
        <v>95</v>
      </c>
      <c r="I1042" s="7">
        <v>6</v>
      </c>
      <c r="J1042" s="9">
        <v>330.88</v>
      </c>
      <c r="K1042" s="10">
        <v>0.1153</v>
      </c>
      <c r="L1042" s="9">
        <f t="shared" si="32"/>
        <v>1756.3772160000001</v>
      </c>
      <c r="M1042" s="9">
        <f>ROUND(L1042*0.6183,2)</f>
        <v>1085.97</v>
      </c>
      <c r="N1042" s="9">
        <f t="shared" si="33"/>
        <v>670.40721600000006</v>
      </c>
    </row>
    <row r="1043" spans="1:14" x14ac:dyDescent="0.35">
      <c r="A1043" s="7" t="s">
        <v>1126</v>
      </c>
      <c r="B1043" s="8">
        <v>45989</v>
      </c>
      <c r="C1043" s="7" t="s">
        <v>52</v>
      </c>
      <c r="D1043" s="7" t="s">
        <v>53</v>
      </c>
      <c r="E1043" s="7" t="s">
        <v>81</v>
      </c>
      <c r="F1043" s="7" t="s">
        <v>48</v>
      </c>
      <c r="G1043" s="7" t="s">
        <v>55</v>
      </c>
      <c r="H1043" s="7" t="s">
        <v>56</v>
      </c>
      <c r="I1043" s="7">
        <v>1</v>
      </c>
      <c r="J1043" s="9">
        <v>1078.69</v>
      </c>
      <c r="K1043" s="10">
        <v>9.5999999999999992E-3</v>
      </c>
      <c r="L1043" s="9">
        <f t="shared" si="32"/>
        <v>1068.334576</v>
      </c>
      <c r="M1043" s="9">
        <f>ROUND(L1043*0.7249,2)</f>
        <v>774.44</v>
      </c>
      <c r="N1043" s="9">
        <f t="shared" si="33"/>
        <v>293.89457599999992</v>
      </c>
    </row>
    <row r="1044" spans="1:14" x14ac:dyDescent="0.35">
      <c r="A1044" s="7" t="s">
        <v>1127</v>
      </c>
      <c r="B1044" s="8">
        <v>45989</v>
      </c>
      <c r="C1044" s="7" t="s">
        <v>76</v>
      </c>
      <c r="D1044" s="7" t="s">
        <v>69</v>
      </c>
      <c r="E1044" s="7" t="s">
        <v>119</v>
      </c>
      <c r="F1044" s="7" t="s">
        <v>48</v>
      </c>
      <c r="G1044" s="7" t="s">
        <v>55</v>
      </c>
      <c r="H1044" s="7" t="s">
        <v>78</v>
      </c>
      <c r="I1044" s="7">
        <v>3</v>
      </c>
      <c r="J1044" s="9">
        <v>193.68</v>
      </c>
      <c r="K1044" s="10">
        <v>5.5199999999999999E-2</v>
      </c>
      <c r="L1044" s="9">
        <f t="shared" si="32"/>
        <v>548.96659199999999</v>
      </c>
      <c r="M1044" s="9">
        <f>ROUND(L1044*0.2327,2)</f>
        <v>127.74</v>
      </c>
      <c r="N1044" s="9">
        <f t="shared" si="33"/>
        <v>421.22659199999998</v>
      </c>
    </row>
    <row r="1045" spans="1:14" x14ac:dyDescent="0.35">
      <c r="A1045" s="7" t="s">
        <v>1128</v>
      </c>
      <c r="B1045" s="8">
        <v>45989</v>
      </c>
      <c r="C1045" s="7" t="s">
        <v>46</v>
      </c>
      <c r="D1045" s="7" t="s">
        <v>40</v>
      </c>
      <c r="E1045" s="7" t="s">
        <v>139</v>
      </c>
      <c r="F1045" s="7" t="s">
        <v>48</v>
      </c>
      <c r="G1045" s="7" t="s">
        <v>49</v>
      </c>
      <c r="H1045" s="7" t="s">
        <v>50</v>
      </c>
      <c r="I1045" s="7">
        <v>3</v>
      </c>
      <c r="J1045" s="9">
        <v>314.13</v>
      </c>
      <c r="K1045" s="10">
        <v>5.74E-2</v>
      </c>
      <c r="L1045" s="9">
        <f t="shared" si="32"/>
        <v>888.29681399999993</v>
      </c>
      <c r="M1045" s="9">
        <f>ROUND(L1045*0.6446,2)</f>
        <v>572.6</v>
      </c>
      <c r="N1045" s="9">
        <f t="shared" si="33"/>
        <v>315.6968139999999</v>
      </c>
    </row>
    <row r="1046" spans="1:14" x14ac:dyDescent="0.35">
      <c r="A1046" s="7" t="s">
        <v>1129</v>
      </c>
      <c r="B1046" s="8">
        <v>45989</v>
      </c>
      <c r="C1046" s="7" t="s">
        <v>46</v>
      </c>
      <c r="D1046" s="7" t="s">
        <v>40</v>
      </c>
      <c r="E1046" s="7" t="s">
        <v>91</v>
      </c>
      <c r="F1046" s="7" t="s">
        <v>48</v>
      </c>
      <c r="G1046" s="7" t="s">
        <v>55</v>
      </c>
      <c r="H1046" s="7" t="s">
        <v>74</v>
      </c>
      <c r="I1046" s="7">
        <v>1</v>
      </c>
      <c r="J1046" s="9">
        <v>132.82</v>
      </c>
      <c r="K1046" s="10">
        <v>1.4800000000000001E-2</v>
      </c>
      <c r="L1046" s="9">
        <f t="shared" si="32"/>
        <v>130.854264</v>
      </c>
      <c r="M1046" s="9">
        <f>ROUND(L1046*0.6215,2)</f>
        <v>81.33</v>
      </c>
      <c r="N1046" s="9">
        <f t="shared" si="33"/>
        <v>49.524264000000002</v>
      </c>
    </row>
    <row r="1047" spans="1:14" x14ac:dyDescent="0.35">
      <c r="A1047" s="7" t="s">
        <v>1130</v>
      </c>
      <c r="B1047" s="8">
        <v>45989</v>
      </c>
      <c r="C1047" s="7" t="s">
        <v>52</v>
      </c>
      <c r="D1047" s="7" t="s">
        <v>66</v>
      </c>
      <c r="E1047" s="7" t="s">
        <v>77</v>
      </c>
      <c r="F1047" s="7" t="s">
        <v>59</v>
      </c>
      <c r="G1047" s="7" t="s">
        <v>49</v>
      </c>
      <c r="H1047" s="7" t="s">
        <v>83</v>
      </c>
      <c r="I1047" s="7">
        <v>9</v>
      </c>
      <c r="J1047" s="9">
        <v>92.64</v>
      </c>
      <c r="K1047" s="10">
        <v>5.0299999999999997E-2</v>
      </c>
      <c r="L1047" s="9">
        <f t="shared" si="32"/>
        <v>791.82187199999998</v>
      </c>
      <c r="M1047" s="9">
        <f>ROUND(L1047*0.5592,2)</f>
        <v>442.79</v>
      </c>
      <c r="N1047" s="9">
        <f t="shared" si="33"/>
        <v>349.03187199999996</v>
      </c>
    </row>
    <row r="1048" spans="1:14" x14ac:dyDescent="0.35">
      <c r="A1048" s="7" t="s">
        <v>1131</v>
      </c>
      <c r="B1048" s="8">
        <v>45989</v>
      </c>
      <c r="C1048" s="7" t="s">
        <v>52</v>
      </c>
      <c r="D1048" s="7" t="s">
        <v>40</v>
      </c>
      <c r="E1048" s="7" t="s">
        <v>139</v>
      </c>
      <c r="F1048" s="7" t="s">
        <v>48</v>
      </c>
      <c r="G1048" s="7" t="s">
        <v>55</v>
      </c>
      <c r="H1048" s="7" t="s">
        <v>56</v>
      </c>
      <c r="I1048" s="7">
        <v>3</v>
      </c>
      <c r="J1048" s="9">
        <v>340.42</v>
      </c>
      <c r="K1048" s="10">
        <v>8.3000000000000001E-3</v>
      </c>
      <c r="L1048" s="9">
        <f t="shared" si="32"/>
        <v>1012.783542</v>
      </c>
      <c r="M1048" s="9">
        <f>ROUND(L1048*0.6498,2)</f>
        <v>658.11</v>
      </c>
      <c r="N1048" s="9">
        <f t="shared" si="33"/>
        <v>354.673542</v>
      </c>
    </row>
    <row r="1049" spans="1:14" x14ac:dyDescent="0.35">
      <c r="A1049" s="7" t="s">
        <v>1132</v>
      </c>
      <c r="B1049" s="8">
        <v>45989</v>
      </c>
      <c r="C1049" s="7" t="s">
        <v>52</v>
      </c>
      <c r="D1049" s="7" t="s">
        <v>40</v>
      </c>
      <c r="E1049" s="7" t="s">
        <v>139</v>
      </c>
      <c r="F1049" s="7" t="s">
        <v>59</v>
      </c>
      <c r="G1049" s="7" t="s">
        <v>49</v>
      </c>
      <c r="H1049" s="7" t="s">
        <v>64</v>
      </c>
      <c r="I1049" s="7">
        <v>9</v>
      </c>
      <c r="J1049" s="9">
        <v>323.70999999999998</v>
      </c>
      <c r="K1049" s="10">
        <v>0.1187</v>
      </c>
      <c r="L1049" s="9">
        <f t="shared" si="32"/>
        <v>2567.5706069999997</v>
      </c>
      <c r="M1049" s="9">
        <f>ROUND(L1049*0.6134,2)</f>
        <v>1574.95</v>
      </c>
      <c r="N1049" s="9">
        <f t="shared" si="33"/>
        <v>992.62060699999961</v>
      </c>
    </row>
    <row r="1050" spans="1:14" x14ac:dyDescent="0.35">
      <c r="A1050" s="7" t="s">
        <v>1133</v>
      </c>
      <c r="B1050" s="8">
        <v>45989</v>
      </c>
      <c r="C1050" s="7" t="s">
        <v>46</v>
      </c>
      <c r="D1050" s="7" t="s">
        <v>66</v>
      </c>
      <c r="E1050" s="7" t="s">
        <v>98</v>
      </c>
      <c r="F1050" s="7" t="s">
        <v>48</v>
      </c>
      <c r="G1050" s="7" t="s">
        <v>49</v>
      </c>
      <c r="H1050" s="7" t="s">
        <v>95</v>
      </c>
      <c r="I1050" s="7">
        <v>2</v>
      </c>
      <c r="J1050" s="9">
        <v>27.91</v>
      </c>
      <c r="K1050" s="10">
        <v>7.0099999999999996E-2</v>
      </c>
      <c r="L1050" s="9">
        <f t="shared" si="32"/>
        <v>51.907018000000001</v>
      </c>
      <c r="M1050" s="9">
        <f>ROUND(L1050*0.561,2)</f>
        <v>29.12</v>
      </c>
      <c r="N1050" s="9">
        <f t="shared" si="33"/>
        <v>22.787018</v>
      </c>
    </row>
    <row r="1051" spans="1:14" x14ac:dyDescent="0.35">
      <c r="A1051" s="7" t="s">
        <v>1134</v>
      </c>
      <c r="B1051" s="8">
        <v>45989</v>
      </c>
      <c r="C1051" s="7" t="s">
        <v>39</v>
      </c>
      <c r="D1051" s="7" t="s">
        <v>66</v>
      </c>
      <c r="E1051" s="7" t="s">
        <v>98</v>
      </c>
      <c r="F1051" s="7" t="s">
        <v>59</v>
      </c>
      <c r="G1051" s="7" t="s">
        <v>43</v>
      </c>
      <c r="H1051" s="7" t="s">
        <v>60</v>
      </c>
      <c r="I1051" s="7">
        <v>4</v>
      </c>
      <c r="J1051" s="9">
        <v>29.06</v>
      </c>
      <c r="K1051" s="10">
        <v>0.14760000000000001</v>
      </c>
      <c r="L1051" s="9">
        <f t="shared" si="32"/>
        <v>99.082976000000002</v>
      </c>
      <c r="M1051" s="9">
        <f>ROUND(L1051*0.5816,2)</f>
        <v>57.63</v>
      </c>
      <c r="N1051" s="9">
        <f t="shared" si="33"/>
        <v>41.452976</v>
      </c>
    </row>
    <row r="1052" spans="1:14" x14ac:dyDescent="0.35">
      <c r="A1052" s="7" t="s">
        <v>1135</v>
      </c>
      <c r="B1052" s="8">
        <v>45990</v>
      </c>
      <c r="C1052" s="7" t="s">
        <v>39</v>
      </c>
      <c r="D1052" s="7" t="s">
        <v>69</v>
      </c>
      <c r="E1052" s="7" t="s">
        <v>107</v>
      </c>
      <c r="F1052" s="7" t="s">
        <v>42</v>
      </c>
      <c r="G1052" s="7" t="s">
        <v>43</v>
      </c>
      <c r="H1052" s="7" t="s">
        <v>44</v>
      </c>
      <c r="I1052" s="7">
        <v>16</v>
      </c>
      <c r="J1052" s="9">
        <v>57.88</v>
      </c>
      <c r="K1052" s="10">
        <v>0.22939999999999999</v>
      </c>
      <c r="L1052" s="9">
        <f t="shared" si="32"/>
        <v>713.637248</v>
      </c>
      <c r="M1052" s="9">
        <f>ROUND(L1052*0.2354,2)</f>
        <v>167.99</v>
      </c>
      <c r="N1052" s="9">
        <f t="shared" si="33"/>
        <v>545.64724799999999</v>
      </c>
    </row>
    <row r="1053" spans="1:14" x14ac:dyDescent="0.35">
      <c r="A1053" s="7" t="s">
        <v>1136</v>
      </c>
      <c r="B1053" s="8">
        <v>45990</v>
      </c>
      <c r="C1053" s="7" t="s">
        <v>46</v>
      </c>
      <c r="D1053" s="7" t="s">
        <v>69</v>
      </c>
      <c r="E1053" s="7" t="s">
        <v>132</v>
      </c>
      <c r="F1053" s="7" t="s">
        <v>59</v>
      </c>
      <c r="G1053" s="7" t="s">
        <v>55</v>
      </c>
      <c r="H1053" s="7" t="s">
        <v>74</v>
      </c>
      <c r="I1053" s="7">
        <v>8</v>
      </c>
      <c r="J1053" s="9">
        <v>80.27</v>
      </c>
      <c r="K1053" s="10">
        <v>5.8099999999999999E-2</v>
      </c>
      <c r="L1053" s="9">
        <f t="shared" si="32"/>
        <v>604.850504</v>
      </c>
      <c r="M1053" s="9">
        <f>ROUND(L1053*0.2431,2)</f>
        <v>147.04</v>
      </c>
      <c r="N1053" s="9">
        <f t="shared" si="33"/>
        <v>457.81050400000004</v>
      </c>
    </row>
    <row r="1054" spans="1:14" x14ac:dyDescent="0.35">
      <c r="A1054" s="7" t="s">
        <v>1137</v>
      </c>
      <c r="B1054" s="8">
        <v>45991</v>
      </c>
      <c r="C1054" s="7" t="s">
        <v>39</v>
      </c>
      <c r="D1054" s="7" t="s">
        <v>69</v>
      </c>
      <c r="E1054" s="7" t="s">
        <v>132</v>
      </c>
      <c r="F1054" s="7" t="s">
        <v>42</v>
      </c>
      <c r="G1054" s="7" t="s">
        <v>49</v>
      </c>
      <c r="H1054" s="7" t="s">
        <v>44</v>
      </c>
      <c r="I1054" s="7">
        <v>32</v>
      </c>
      <c r="J1054" s="9">
        <v>77.569999999999993</v>
      </c>
      <c r="K1054" s="10">
        <v>0.1062</v>
      </c>
      <c r="L1054" s="9">
        <f t="shared" si="32"/>
        <v>2218.6261119999999</v>
      </c>
      <c r="M1054" s="9">
        <f>ROUND(L1054*0.268,2)</f>
        <v>594.59</v>
      </c>
      <c r="N1054" s="9">
        <f t="shared" si="33"/>
        <v>1624.0361119999998</v>
      </c>
    </row>
    <row r="1055" spans="1:14" x14ac:dyDescent="0.35">
      <c r="A1055" s="7" t="s">
        <v>1138</v>
      </c>
      <c r="B1055" s="8">
        <v>45991</v>
      </c>
      <c r="C1055" s="7" t="s">
        <v>52</v>
      </c>
      <c r="D1055" s="7" t="s">
        <v>40</v>
      </c>
      <c r="E1055" s="7" t="s">
        <v>91</v>
      </c>
      <c r="F1055" s="7" t="s">
        <v>42</v>
      </c>
      <c r="G1055" s="7" t="s">
        <v>43</v>
      </c>
      <c r="H1055" s="7" t="s">
        <v>83</v>
      </c>
      <c r="I1055" s="7">
        <v>39</v>
      </c>
      <c r="J1055" s="9">
        <v>121.94</v>
      </c>
      <c r="K1055" s="10">
        <v>0.15229999999999999</v>
      </c>
      <c r="L1055" s="9">
        <f t="shared" si="32"/>
        <v>4031.3729819999999</v>
      </c>
      <c r="M1055" s="9">
        <f>ROUND(L1055*0.6376,2)</f>
        <v>2570.4</v>
      </c>
      <c r="N1055" s="9">
        <f t="shared" si="33"/>
        <v>1460.9729819999998</v>
      </c>
    </row>
    <row r="1056" spans="1:14" x14ac:dyDescent="0.35">
      <c r="A1056" s="7" t="s">
        <v>1139</v>
      </c>
      <c r="B1056" s="8">
        <v>45991</v>
      </c>
      <c r="C1056" s="7" t="s">
        <v>76</v>
      </c>
      <c r="D1056" s="7" t="s">
        <v>53</v>
      </c>
      <c r="E1056" s="7" t="s">
        <v>54</v>
      </c>
      <c r="F1056" s="7" t="s">
        <v>59</v>
      </c>
      <c r="G1056" s="7" t="s">
        <v>43</v>
      </c>
      <c r="H1056" s="7" t="s">
        <v>110</v>
      </c>
      <c r="I1056" s="7">
        <v>4</v>
      </c>
      <c r="J1056" s="9">
        <v>1289.58</v>
      </c>
      <c r="K1056" s="10">
        <v>9.0300000000000005E-2</v>
      </c>
      <c r="L1056" s="9">
        <f t="shared" si="32"/>
        <v>4692.5237039999993</v>
      </c>
      <c r="M1056" s="9">
        <f>ROUND(L1056*0.6822,2)</f>
        <v>3201.24</v>
      </c>
      <c r="N1056" s="9">
        <f t="shared" si="33"/>
        <v>1491.2837039999995</v>
      </c>
    </row>
    <row r="1057" spans="1:14" x14ac:dyDescent="0.35">
      <c r="A1057" s="7" t="s">
        <v>1140</v>
      </c>
      <c r="B1057" s="8">
        <v>45991</v>
      </c>
      <c r="C1057" s="7" t="s">
        <v>76</v>
      </c>
      <c r="D1057" s="7" t="s">
        <v>66</v>
      </c>
      <c r="E1057" s="7" t="s">
        <v>73</v>
      </c>
      <c r="F1057" s="7" t="s">
        <v>48</v>
      </c>
      <c r="G1057" s="7" t="s">
        <v>55</v>
      </c>
      <c r="H1057" s="7" t="s">
        <v>78</v>
      </c>
      <c r="I1057" s="7">
        <v>3</v>
      </c>
      <c r="J1057" s="9">
        <v>39.909999999999997</v>
      </c>
      <c r="K1057" s="10">
        <v>4.1000000000000002E-2</v>
      </c>
      <c r="L1057" s="9">
        <f t="shared" si="32"/>
        <v>114.82106999999999</v>
      </c>
      <c r="M1057" s="9">
        <f>ROUND(L1057*0.5664,2)</f>
        <v>65.03</v>
      </c>
      <c r="N1057" s="9">
        <f t="shared" si="33"/>
        <v>49.791069999999991</v>
      </c>
    </row>
    <row r="1058" spans="1:14" x14ac:dyDescent="0.35">
      <c r="A1058" s="7" t="s">
        <v>1141</v>
      </c>
      <c r="B1058" s="8">
        <v>45992</v>
      </c>
      <c r="C1058" s="7" t="s">
        <v>39</v>
      </c>
      <c r="D1058" s="7" t="s">
        <v>66</v>
      </c>
      <c r="E1058" s="7" t="s">
        <v>67</v>
      </c>
      <c r="F1058" s="7" t="s">
        <v>59</v>
      </c>
      <c r="G1058" s="7" t="s">
        <v>49</v>
      </c>
      <c r="H1058" s="7" t="s">
        <v>44</v>
      </c>
      <c r="I1058" s="7">
        <v>6</v>
      </c>
      <c r="J1058" s="9">
        <v>83.08</v>
      </c>
      <c r="K1058" s="10">
        <v>8.1199999999999994E-2</v>
      </c>
      <c r="L1058" s="9">
        <f t="shared" si="32"/>
        <v>458.00342400000005</v>
      </c>
      <c r="M1058" s="9">
        <f>ROUND(L1058*0.555,2)</f>
        <v>254.19</v>
      </c>
      <c r="N1058" s="9">
        <f t="shared" si="33"/>
        <v>203.81342400000005</v>
      </c>
    </row>
    <row r="1059" spans="1:14" x14ac:dyDescent="0.35">
      <c r="A1059" s="7" t="s">
        <v>1142</v>
      </c>
      <c r="B1059" s="8">
        <v>45992</v>
      </c>
      <c r="C1059" s="7" t="s">
        <v>39</v>
      </c>
      <c r="D1059" s="7" t="s">
        <v>40</v>
      </c>
      <c r="E1059" s="7" t="s">
        <v>41</v>
      </c>
      <c r="F1059" s="7" t="s">
        <v>48</v>
      </c>
      <c r="G1059" s="7" t="s">
        <v>55</v>
      </c>
      <c r="H1059" s="7" t="s">
        <v>108</v>
      </c>
      <c r="I1059" s="7">
        <v>2</v>
      </c>
      <c r="J1059" s="9">
        <v>398.93</v>
      </c>
      <c r="K1059" s="10">
        <v>2.41E-2</v>
      </c>
      <c r="L1059" s="9">
        <f t="shared" si="32"/>
        <v>778.631574</v>
      </c>
      <c r="M1059" s="9">
        <f>ROUND(L1059*0.6545,2)</f>
        <v>509.61</v>
      </c>
      <c r="N1059" s="9">
        <f t="shared" si="33"/>
        <v>269.02157399999999</v>
      </c>
    </row>
    <row r="1060" spans="1:14" x14ac:dyDescent="0.35">
      <c r="A1060" s="7" t="s">
        <v>1143</v>
      </c>
      <c r="B1060" s="8">
        <v>45992</v>
      </c>
      <c r="C1060" s="7" t="s">
        <v>52</v>
      </c>
      <c r="D1060" s="7" t="s">
        <v>53</v>
      </c>
      <c r="E1060" s="7" t="s">
        <v>81</v>
      </c>
      <c r="F1060" s="7" t="s">
        <v>42</v>
      </c>
      <c r="G1060" s="7" t="s">
        <v>43</v>
      </c>
      <c r="H1060" s="7" t="s">
        <v>71</v>
      </c>
      <c r="I1060" s="7">
        <v>27</v>
      </c>
      <c r="J1060" s="9">
        <v>1101.72</v>
      </c>
      <c r="K1060" s="10">
        <v>0.1958</v>
      </c>
      <c r="L1060" s="9">
        <f t="shared" si="32"/>
        <v>23922.087048000001</v>
      </c>
      <c r="M1060" s="9">
        <f>ROUND(L1060*0.7024,2)</f>
        <v>16802.87</v>
      </c>
      <c r="N1060" s="9">
        <f t="shared" si="33"/>
        <v>7119.2170480000023</v>
      </c>
    </row>
    <row r="1061" spans="1:14" x14ac:dyDescent="0.35">
      <c r="A1061" s="7" t="s">
        <v>1144</v>
      </c>
      <c r="B1061" s="8">
        <v>45992</v>
      </c>
      <c r="C1061" s="7" t="s">
        <v>39</v>
      </c>
      <c r="D1061" s="7" t="s">
        <v>40</v>
      </c>
      <c r="E1061" s="7" t="s">
        <v>41</v>
      </c>
      <c r="F1061" s="7" t="s">
        <v>42</v>
      </c>
      <c r="G1061" s="7" t="s">
        <v>43</v>
      </c>
      <c r="H1061" s="7" t="s">
        <v>60</v>
      </c>
      <c r="I1061" s="7">
        <v>33</v>
      </c>
      <c r="J1061" s="9">
        <v>390.51</v>
      </c>
      <c r="K1061" s="10">
        <v>0.1719</v>
      </c>
      <c r="L1061" s="9">
        <f t="shared" si="32"/>
        <v>10671.583923</v>
      </c>
      <c r="M1061" s="9">
        <f>ROUND(L1061*0.6241,2)</f>
        <v>6660.14</v>
      </c>
      <c r="N1061" s="9">
        <f t="shared" si="33"/>
        <v>4011.4439229999998</v>
      </c>
    </row>
    <row r="1062" spans="1:14" x14ac:dyDescent="0.35">
      <c r="A1062" s="7" t="s">
        <v>1145</v>
      </c>
      <c r="B1062" s="8">
        <v>45993</v>
      </c>
      <c r="C1062" s="7" t="s">
        <v>46</v>
      </c>
      <c r="D1062" s="7" t="s">
        <v>69</v>
      </c>
      <c r="E1062" s="7" t="s">
        <v>70</v>
      </c>
      <c r="F1062" s="7" t="s">
        <v>48</v>
      </c>
      <c r="G1062" s="7" t="s">
        <v>55</v>
      </c>
      <c r="H1062" s="7" t="s">
        <v>74</v>
      </c>
      <c r="I1062" s="7">
        <v>3</v>
      </c>
      <c r="J1062" s="9">
        <v>152.81</v>
      </c>
      <c r="K1062" s="10">
        <v>4.8599999999999997E-2</v>
      </c>
      <c r="L1062" s="9">
        <f t="shared" si="32"/>
        <v>436.15030200000001</v>
      </c>
      <c r="M1062" s="9">
        <f>ROUND(L1062*0.2301,2)</f>
        <v>100.36</v>
      </c>
      <c r="N1062" s="9">
        <f t="shared" si="33"/>
        <v>335.790302</v>
      </c>
    </row>
    <row r="1063" spans="1:14" x14ac:dyDescent="0.35">
      <c r="A1063" s="7" t="s">
        <v>1146</v>
      </c>
      <c r="B1063" s="8">
        <v>45993</v>
      </c>
      <c r="C1063" s="7" t="s">
        <v>46</v>
      </c>
      <c r="D1063" s="7" t="s">
        <v>66</v>
      </c>
      <c r="E1063" s="7" t="s">
        <v>98</v>
      </c>
      <c r="F1063" s="7" t="s">
        <v>42</v>
      </c>
      <c r="G1063" s="7" t="s">
        <v>55</v>
      </c>
      <c r="H1063" s="7" t="s">
        <v>74</v>
      </c>
      <c r="I1063" s="7">
        <v>18</v>
      </c>
      <c r="J1063" s="9">
        <v>29.23</v>
      </c>
      <c r="K1063" s="10">
        <v>7.2900000000000006E-2</v>
      </c>
      <c r="L1063" s="9">
        <f t="shared" si="32"/>
        <v>487.78439400000002</v>
      </c>
      <c r="M1063" s="9">
        <f>ROUND(L1063*0.5626,2)</f>
        <v>274.43</v>
      </c>
      <c r="N1063" s="9">
        <f t="shared" si="33"/>
        <v>213.35439400000001</v>
      </c>
    </row>
    <row r="1064" spans="1:14" x14ac:dyDescent="0.35">
      <c r="A1064" s="7" t="s">
        <v>1147</v>
      </c>
      <c r="B1064" s="8">
        <v>45993</v>
      </c>
      <c r="C1064" s="7" t="s">
        <v>46</v>
      </c>
      <c r="D1064" s="7" t="s">
        <v>69</v>
      </c>
      <c r="E1064" s="7" t="s">
        <v>119</v>
      </c>
      <c r="F1064" s="7" t="s">
        <v>48</v>
      </c>
      <c r="G1064" s="7" t="s">
        <v>55</v>
      </c>
      <c r="H1064" s="7" t="s">
        <v>74</v>
      </c>
      <c r="I1064" s="7">
        <v>1</v>
      </c>
      <c r="J1064" s="9">
        <v>193.26</v>
      </c>
      <c r="K1064" s="10">
        <v>7.2499999999999995E-2</v>
      </c>
      <c r="L1064" s="9">
        <f t="shared" si="32"/>
        <v>179.24865</v>
      </c>
      <c r="M1064" s="9">
        <f>ROUND(L1064*0.254,2)</f>
        <v>45.53</v>
      </c>
      <c r="N1064" s="9">
        <f t="shared" si="33"/>
        <v>133.71865</v>
      </c>
    </row>
    <row r="1065" spans="1:14" x14ac:dyDescent="0.35">
      <c r="A1065" s="7" t="s">
        <v>1148</v>
      </c>
      <c r="B1065" s="8">
        <v>45993</v>
      </c>
      <c r="C1065" s="7" t="s">
        <v>46</v>
      </c>
      <c r="D1065" s="7" t="s">
        <v>40</v>
      </c>
      <c r="E1065" s="7" t="s">
        <v>47</v>
      </c>
      <c r="F1065" s="7" t="s">
        <v>48</v>
      </c>
      <c r="G1065" s="7" t="s">
        <v>55</v>
      </c>
      <c r="H1065" s="7" t="s">
        <v>74</v>
      </c>
      <c r="I1065" s="7">
        <v>2</v>
      </c>
      <c r="J1065" s="9">
        <v>246.7</v>
      </c>
      <c r="K1065" s="10">
        <v>2.3599999999999999E-2</v>
      </c>
      <c r="L1065" s="9">
        <f t="shared" si="32"/>
        <v>481.75576000000001</v>
      </c>
      <c r="M1065" s="9">
        <f>ROUND(L1065*0.6223,2)</f>
        <v>299.8</v>
      </c>
      <c r="N1065" s="9">
        <f t="shared" si="33"/>
        <v>181.95576</v>
      </c>
    </row>
    <row r="1066" spans="1:14" x14ac:dyDescent="0.35">
      <c r="A1066" s="7" t="s">
        <v>1149</v>
      </c>
      <c r="B1066" s="8">
        <v>45994</v>
      </c>
      <c r="C1066" s="7" t="s">
        <v>46</v>
      </c>
      <c r="D1066" s="7" t="s">
        <v>53</v>
      </c>
      <c r="E1066" s="7" t="s">
        <v>105</v>
      </c>
      <c r="F1066" s="7" t="s">
        <v>59</v>
      </c>
      <c r="G1066" s="7" t="s">
        <v>55</v>
      </c>
      <c r="H1066" s="7" t="s">
        <v>74</v>
      </c>
      <c r="I1066" s="7">
        <v>6</v>
      </c>
      <c r="J1066" s="9">
        <v>456</v>
      </c>
      <c r="K1066" s="10">
        <v>6.3200000000000006E-2</v>
      </c>
      <c r="L1066" s="9">
        <f t="shared" si="32"/>
        <v>2563.0848000000001</v>
      </c>
      <c r="M1066" s="9">
        <f>ROUND(L1066*0.7097,2)</f>
        <v>1819.02</v>
      </c>
      <c r="N1066" s="9">
        <f t="shared" si="33"/>
        <v>744.0648000000001</v>
      </c>
    </row>
    <row r="1067" spans="1:14" x14ac:dyDescent="0.35">
      <c r="A1067" s="7" t="s">
        <v>1150</v>
      </c>
      <c r="B1067" s="8">
        <v>45994</v>
      </c>
      <c r="C1067" s="7" t="s">
        <v>39</v>
      </c>
      <c r="D1067" s="7" t="s">
        <v>69</v>
      </c>
      <c r="E1067" s="7" t="s">
        <v>132</v>
      </c>
      <c r="F1067" s="7" t="s">
        <v>59</v>
      </c>
      <c r="G1067" s="7" t="s">
        <v>49</v>
      </c>
      <c r="H1067" s="7" t="s">
        <v>44</v>
      </c>
      <c r="I1067" s="7">
        <v>4</v>
      </c>
      <c r="J1067" s="9">
        <v>75.28</v>
      </c>
      <c r="K1067" s="10">
        <v>7.5700000000000003E-2</v>
      </c>
      <c r="L1067" s="9">
        <f t="shared" si="32"/>
        <v>278.32521600000001</v>
      </c>
      <c r="M1067" s="9">
        <f>ROUND(L1067*0.2154,2)</f>
        <v>59.95</v>
      </c>
      <c r="N1067" s="9">
        <f t="shared" si="33"/>
        <v>218.37521600000002</v>
      </c>
    </row>
    <row r="1068" spans="1:14" x14ac:dyDescent="0.35">
      <c r="A1068" s="7" t="s">
        <v>1151</v>
      </c>
      <c r="B1068" s="8">
        <v>45994</v>
      </c>
      <c r="C1068" s="7" t="s">
        <v>52</v>
      </c>
      <c r="D1068" s="7" t="s">
        <v>69</v>
      </c>
      <c r="E1068" s="7" t="s">
        <v>119</v>
      </c>
      <c r="F1068" s="7" t="s">
        <v>48</v>
      </c>
      <c r="G1068" s="7" t="s">
        <v>49</v>
      </c>
      <c r="H1068" s="7" t="s">
        <v>83</v>
      </c>
      <c r="I1068" s="7">
        <v>3</v>
      </c>
      <c r="J1068" s="9">
        <v>197.32</v>
      </c>
      <c r="K1068" s="10">
        <v>8.3799999999999999E-2</v>
      </c>
      <c r="L1068" s="9">
        <f t="shared" si="32"/>
        <v>542.35375199999999</v>
      </c>
      <c r="M1068" s="9">
        <f>ROUND(L1068*0.2492,2)</f>
        <v>135.15</v>
      </c>
      <c r="N1068" s="9">
        <f t="shared" si="33"/>
        <v>407.20375200000001</v>
      </c>
    </row>
    <row r="1069" spans="1:14" x14ac:dyDescent="0.35">
      <c r="A1069" s="7" t="s">
        <v>1152</v>
      </c>
      <c r="B1069" s="8">
        <v>45995</v>
      </c>
      <c r="C1069" s="7" t="s">
        <v>52</v>
      </c>
      <c r="D1069" s="7" t="s">
        <v>69</v>
      </c>
      <c r="E1069" s="7" t="s">
        <v>132</v>
      </c>
      <c r="F1069" s="7" t="s">
        <v>59</v>
      </c>
      <c r="G1069" s="7" t="s">
        <v>49</v>
      </c>
      <c r="H1069" s="7" t="s">
        <v>64</v>
      </c>
      <c r="I1069" s="7">
        <v>10</v>
      </c>
      <c r="J1069" s="9">
        <v>76.650000000000006</v>
      </c>
      <c r="K1069" s="10">
        <v>0.1079</v>
      </c>
      <c r="L1069" s="9">
        <f t="shared" si="32"/>
        <v>683.79465000000005</v>
      </c>
      <c r="M1069" s="9">
        <f>ROUND(L1069*0.2501,2)</f>
        <v>171.02</v>
      </c>
      <c r="N1069" s="9">
        <f t="shared" si="33"/>
        <v>512.77465000000007</v>
      </c>
    </row>
    <row r="1070" spans="1:14" x14ac:dyDescent="0.35">
      <c r="A1070" s="7" t="s">
        <v>1153</v>
      </c>
      <c r="B1070" s="8">
        <v>45995</v>
      </c>
      <c r="C1070" s="7" t="s">
        <v>46</v>
      </c>
      <c r="D1070" s="7" t="s">
        <v>40</v>
      </c>
      <c r="E1070" s="7" t="s">
        <v>41</v>
      </c>
      <c r="F1070" s="7" t="s">
        <v>59</v>
      </c>
      <c r="G1070" s="7" t="s">
        <v>55</v>
      </c>
      <c r="H1070" s="7" t="s">
        <v>74</v>
      </c>
      <c r="I1070" s="7">
        <v>8</v>
      </c>
      <c r="J1070" s="9">
        <v>414.63</v>
      </c>
      <c r="K1070" s="10">
        <v>4.3799999999999999E-2</v>
      </c>
      <c r="L1070" s="9">
        <f t="shared" si="32"/>
        <v>3171.7536480000003</v>
      </c>
      <c r="M1070" s="9">
        <f>ROUND(L1070*0.6392,2)</f>
        <v>2027.38</v>
      </c>
      <c r="N1070" s="9">
        <f t="shared" si="33"/>
        <v>1144.3736480000002</v>
      </c>
    </row>
    <row r="1071" spans="1:14" x14ac:dyDescent="0.35">
      <c r="A1071" s="7" t="s">
        <v>1154</v>
      </c>
      <c r="B1071" s="8">
        <v>45995</v>
      </c>
      <c r="C1071" s="7" t="s">
        <v>46</v>
      </c>
      <c r="D1071" s="7" t="s">
        <v>40</v>
      </c>
      <c r="E1071" s="7" t="s">
        <v>62</v>
      </c>
      <c r="F1071" s="7" t="s">
        <v>48</v>
      </c>
      <c r="G1071" s="7" t="s">
        <v>49</v>
      </c>
      <c r="H1071" s="7" t="s">
        <v>95</v>
      </c>
      <c r="I1071" s="7">
        <v>2</v>
      </c>
      <c r="J1071" s="9">
        <v>200.18</v>
      </c>
      <c r="K1071" s="10">
        <v>9.5699999999999993E-2</v>
      </c>
      <c r="L1071" s="9">
        <f t="shared" si="32"/>
        <v>362.045548</v>
      </c>
      <c r="M1071" s="9">
        <f>ROUND(L1071*0.6534,2)</f>
        <v>236.56</v>
      </c>
      <c r="N1071" s="9">
        <f t="shared" si="33"/>
        <v>125.48554799999999</v>
      </c>
    </row>
    <row r="1072" spans="1:14" x14ac:dyDescent="0.35">
      <c r="A1072" s="7" t="s">
        <v>1155</v>
      </c>
      <c r="B1072" s="8">
        <v>45996</v>
      </c>
      <c r="C1072" s="7" t="s">
        <v>52</v>
      </c>
      <c r="D1072" s="7" t="s">
        <v>40</v>
      </c>
      <c r="E1072" s="7" t="s">
        <v>139</v>
      </c>
      <c r="F1072" s="7" t="s">
        <v>59</v>
      </c>
      <c r="G1072" s="7" t="s">
        <v>43</v>
      </c>
      <c r="H1072" s="7" t="s">
        <v>83</v>
      </c>
      <c r="I1072" s="7">
        <v>8</v>
      </c>
      <c r="J1072" s="9">
        <v>322.87</v>
      </c>
      <c r="K1072" s="10">
        <v>0.15329999999999999</v>
      </c>
      <c r="L1072" s="9">
        <f t="shared" si="32"/>
        <v>2186.9922320000001</v>
      </c>
      <c r="M1072" s="9">
        <f>ROUND(L1072*0.616,2)</f>
        <v>1347.19</v>
      </c>
      <c r="N1072" s="9">
        <f t="shared" si="33"/>
        <v>839.802232</v>
      </c>
    </row>
    <row r="1073" spans="1:14" x14ac:dyDescent="0.35">
      <c r="A1073" s="7" t="s">
        <v>1156</v>
      </c>
      <c r="B1073" s="8">
        <v>45996</v>
      </c>
      <c r="C1073" s="7" t="s">
        <v>52</v>
      </c>
      <c r="D1073" s="7" t="s">
        <v>69</v>
      </c>
      <c r="E1073" s="7" t="s">
        <v>70</v>
      </c>
      <c r="F1073" s="7" t="s">
        <v>48</v>
      </c>
      <c r="G1073" s="7" t="s">
        <v>55</v>
      </c>
      <c r="H1073" s="7" t="s">
        <v>56</v>
      </c>
      <c r="I1073" s="7">
        <v>3</v>
      </c>
      <c r="J1073" s="9">
        <v>146.75</v>
      </c>
      <c r="K1073" s="10">
        <v>1.0800000000000001E-2</v>
      </c>
      <c r="L1073" s="9">
        <f t="shared" si="32"/>
        <v>435.49529999999999</v>
      </c>
      <c r="M1073" s="9">
        <f>ROUND(L1073*0.2104,2)</f>
        <v>91.63</v>
      </c>
      <c r="N1073" s="9">
        <f t="shared" si="33"/>
        <v>343.86529999999999</v>
      </c>
    </row>
    <row r="1074" spans="1:14" x14ac:dyDescent="0.35">
      <c r="A1074" s="7" t="s">
        <v>1157</v>
      </c>
      <c r="B1074" s="8">
        <v>45996</v>
      </c>
      <c r="C1074" s="7" t="s">
        <v>39</v>
      </c>
      <c r="D1074" s="7" t="s">
        <v>53</v>
      </c>
      <c r="E1074" s="7" t="s">
        <v>81</v>
      </c>
      <c r="F1074" s="7" t="s">
        <v>59</v>
      </c>
      <c r="G1074" s="7" t="s">
        <v>55</v>
      </c>
      <c r="H1074" s="7" t="s">
        <v>108</v>
      </c>
      <c r="I1074" s="7">
        <v>8</v>
      </c>
      <c r="J1074" s="9">
        <v>1135.29</v>
      </c>
      <c r="K1074" s="10">
        <v>6.7299999999999999E-2</v>
      </c>
      <c r="L1074" s="9">
        <f t="shared" si="32"/>
        <v>8471.0798639999994</v>
      </c>
      <c r="M1074" s="9">
        <f>ROUND(L1074*0.686,2)</f>
        <v>5811.16</v>
      </c>
      <c r="N1074" s="9">
        <f t="shared" si="33"/>
        <v>2659.9198639999995</v>
      </c>
    </row>
    <row r="1075" spans="1:14" x14ac:dyDescent="0.35">
      <c r="A1075" s="7" t="s">
        <v>1158</v>
      </c>
      <c r="B1075" s="8">
        <v>45996</v>
      </c>
      <c r="C1075" s="7" t="s">
        <v>46</v>
      </c>
      <c r="D1075" s="7" t="s">
        <v>40</v>
      </c>
      <c r="E1075" s="7" t="s">
        <v>41</v>
      </c>
      <c r="F1075" s="7" t="s">
        <v>48</v>
      </c>
      <c r="G1075" s="7" t="s">
        <v>55</v>
      </c>
      <c r="H1075" s="7" t="s">
        <v>74</v>
      </c>
      <c r="I1075" s="7">
        <v>2</v>
      </c>
      <c r="J1075" s="9">
        <v>410.85</v>
      </c>
      <c r="K1075" s="10">
        <v>2.4899999999999999E-2</v>
      </c>
      <c r="L1075" s="9">
        <f t="shared" si="32"/>
        <v>801.23967000000005</v>
      </c>
      <c r="M1075" s="9">
        <f>ROUND(L1075*0.6502,2)</f>
        <v>520.97</v>
      </c>
      <c r="N1075" s="9">
        <f t="shared" si="33"/>
        <v>280.26967000000002</v>
      </c>
    </row>
    <row r="1076" spans="1:14" x14ac:dyDescent="0.35">
      <c r="A1076" s="7" t="s">
        <v>1159</v>
      </c>
      <c r="B1076" s="8">
        <v>45997</v>
      </c>
      <c r="C1076" s="7" t="s">
        <v>52</v>
      </c>
      <c r="D1076" s="7" t="s">
        <v>66</v>
      </c>
      <c r="E1076" s="7" t="s">
        <v>67</v>
      </c>
      <c r="F1076" s="7" t="s">
        <v>59</v>
      </c>
      <c r="G1076" s="7" t="s">
        <v>49</v>
      </c>
      <c r="H1076" s="7" t="s">
        <v>83</v>
      </c>
      <c r="I1076" s="7">
        <v>10</v>
      </c>
      <c r="J1076" s="9">
        <v>87.37</v>
      </c>
      <c r="K1076" s="10">
        <v>0.13930000000000001</v>
      </c>
      <c r="L1076" s="9">
        <f t="shared" si="32"/>
        <v>751.99359000000004</v>
      </c>
      <c r="M1076" s="9">
        <f>ROUND(L1076*0.5574,2)</f>
        <v>419.16</v>
      </c>
      <c r="N1076" s="9">
        <f t="shared" si="33"/>
        <v>332.83359000000002</v>
      </c>
    </row>
    <row r="1077" spans="1:14" x14ac:dyDescent="0.35">
      <c r="A1077" s="7" t="s">
        <v>1160</v>
      </c>
      <c r="B1077" s="8">
        <v>45997</v>
      </c>
      <c r="C1077" s="7" t="s">
        <v>46</v>
      </c>
      <c r="D1077" s="7" t="s">
        <v>69</v>
      </c>
      <c r="E1077" s="7" t="s">
        <v>132</v>
      </c>
      <c r="F1077" s="7" t="s">
        <v>59</v>
      </c>
      <c r="G1077" s="7" t="s">
        <v>49</v>
      </c>
      <c r="H1077" s="7" t="s">
        <v>95</v>
      </c>
      <c r="I1077" s="7">
        <v>6</v>
      </c>
      <c r="J1077" s="9">
        <v>74.61</v>
      </c>
      <c r="K1077" s="10">
        <v>5.8200000000000002E-2</v>
      </c>
      <c r="L1077" s="9">
        <f t="shared" si="32"/>
        <v>421.60618799999997</v>
      </c>
      <c r="M1077" s="9">
        <f>ROUND(L1077*0.22,2)</f>
        <v>92.75</v>
      </c>
      <c r="N1077" s="9">
        <f t="shared" si="33"/>
        <v>328.85618799999997</v>
      </c>
    </row>
    <row r="1078" spans="1:14" x14ac:dyDescent="0.35">
      <c r="A1078" s="7" t="s">
        <v>1161</v>
      </c>
      <c r="B1078" s="8">
        <v>45997</v>
      </c>
      <c r="C1078" s="7" t="s">
        <v>76</v>
      </c>
      <c r="D1078" s="7" t="s">
        <v>66</v>
      </c>
      <c r="E1078" s="7" t="s">
        <v>137</v>
      </c>
      <c r="F1078" s="7" t="s">
        <v>42</v>
      </c>
      <c r="G1078" s="7" t="s">
        <v>49</v>
      </c>
      <c r="H1078" s="7" t="s">
        <v>151</v>
      </c>
      <c r="I1078" s="7">
        <v>8</v>
      </c>
      <c r="J1078" s="9">
        <v>154.09</v>
      </c>
      <c r="K1078" s="10">
        <v>0.15110000000000001</v>
      </c>
      <c r="L1078" s="9">
        <f t="shared" si="32"/>
        <v>1046.4560080000001</v>
      </c>
      <c r="M1078" s="9">
        <f>ROUND(L1078*0.5566,2)</f>
        <v>582.46</v>
      </c>
      <c r="N1078" s="9">
        <f t="shared" si="33"/>
        <v>463.99600800000007</v>
      </c>
    </row>
    <row r="1079" spans="1:14" x14ac:dyDescent="0.35">
      <c r="A1079" s="7" t="s">
        <v>1162</v>
      </c>
      <c r="B1079" s="8">
        <v>45997</v>
      </c>
      <c r="C1079" s="7" t="s">
        <v>76</v>
      </c>
      <c r="D1079" s="7" t="s">
        <v>66</v>
      </c>
      <c r="E1079" s="7" t="s">
        <v>98</v>
      </c>
      <c r="F1079" s="7" t="s">
        <v>48</v>
      </c>
      <c r="G1079" s="7" t="s">
        <v>55</v>
      </c>
      <c r="H1079" s="7" t="s">
        <v>78</v>
      </c>
      <c r="I1079" s="7">
        <v>1</v>
      </c>
      <c r="J1079" s="9">
        <v>30.16</v>
      </c>
      <c r="K1079" s="10">
        <v>1.7000000000000001E-2</v>
      </c>
      <c r="L1079" s="9">
        <f t="shared" si="32"/>
        <v>29.647279999999999</v>
      </c>
      <c r="M1079" s="9">
        <f>ROUND(L1079*0.5739,2)</f>
        <v>17.010000000000002</v>
      </c>
      <c r="N1079" s="9">
        <f t="shared" si="33"/>
        <v>12.637279999999997</v>
      </c>
    </row>
    <row r="1080" spans="1:14" x14ac:dyDescent="0.35">
      <c r="A1080" s="7" t="s">
        <v>1163</v>
      </c>
      <c r="B1080" s="8">
        <v>45997</v>
      </c>
      <c r="C1080" s="7" t="s">
        <v>76</v>
      </c>
      <c r="D1080" s="7" t="s">
        <v>53</v>
      </c>
      <c r="E1080" s="7" t="s">
        <v>81</v>
      </c>
      <c r="F1080" s="7" t="s">
        <v>48</v>
      </c>
      <c r="G1080" s="7" t="s">
        <v>49</v>
      </c>
      <c r="H1080" s="7" t="s">
        <v>110</v>
      </c>
      <c r="I1080" s="7">
        <v>2</v>
      </c>
      <c r="J1080" s="9">
        <v>1055.93</v>
      </c>
      <c r="K1080" s="10">
        <v>2.87E-2</v>
      </c>
      <c r="L1080" s="9">
        <f t="shared" si="32"/>
        <v>2051.2496180000003</v>
      </c>
      <c r="M1080" s="9">
        <f>ROUND(L1080*0.7213,2)</f>
        <v>1479.57</v>
      </c>
      <c r="N1080" s="9">
        <f t="shared" si="33"/>
        <v>571.67961800000035</v>
      </c>
    </row>
    <row r="1081" spans="1:14" x14ac:dyDescent="0.35">
      <c r="A1081" s="7" t="s">
        <v>1164</v>
      </c>
      <c r="B1081" s="8">
        <v>45997</v>
      </c>
      <c r="C1081" s="7" t="s">
        <v>76</v>
      </c>
      <c r="D1081" s="7" t="s">
        <v>40</v>
      </c>
      <c r="E1081" s="7" t="s">
        <v>47</v>
      </c>
      <c r="F1081" s="7" t="s">
        <v>59</v>
      </c>
      <c r="G1081" s="7" t="s">
        <v>49</v>
      </c>
      <c r="H1081" s="7" t="s">
        <v>110</v>
      </c>
      <c r="I1081" s="7">
        <v>8</v>
      </c>
      <c r="J1081" s="9">
        <v>249.98</v>
      </c>
      <c r="K1081" s="10">
        <v>9.8299999999999998E-2</v>
      </c>
      <c r="L1081" s="9">
        <f t="shared" si="32"/>
        <v>1803.2557279999999</v>
      </c>
      <c r="M1081" s="9">
        <f>ROUND(L1081*0.6553,2)</f>
        <v>1181.67</v>
      </c>
      <c r="N1081" s="9">
        <f t="shared" si="33"/>
        <v>621.58572799999979</v>
      </c>
    </row>
    <row r="1082" spans="1:14" x14ac:dyDescent="0.35">
      <c r="A1082" s="7" t="s">
        <v>1165</v>
      </c>
      <c r="B1082" s="8">
        <v>45997</v>
      </c>
      <c r="C1082" s="7" t="s">
        <v>76</v>
      </c>
      <c r="D1082" s="7" t="s">
        <v>40</v>
      </c>
      <c r="E1082" s="7" t="s">
        <v>139</v>
      </c>
      <c r="F1082" s="7" t="s">
        <v>48</v>
      </c>
      <c r="G1082" s="7" t="s">
        <v>55</v>
      </c>
      <c r="H1082" s="7" t="s">
        <v>78</v>
      </c>
      <c r="I1082" s="7">
        <v>2</v>
      </c>
      <c r="J1082" s="9">
        <v>318.95</v>
      </c>
      <c r="K1082" s="10">
        <v>4.9000000000000002E-2</v>
      </c>
      <c r="L1082" s="9">
        <f t="shared" si="32"/>
        <v>606.64289999999994</v>
      </c>
      <c r="M1082" s="9">
        <f>ROUND(L1082*0.6313,2)</f>
        <v>382.97</v>
      </c>
      <c r="N1082" s="9">
        <f t="shared" si="33"/>
        <v>223.67289999999991</v>
      </c>
    </row>
    <row r="1083" spans="1:14" x14ac:dyDescent="0.35">
      <c r="A1083" s="7" t="s">
        <v>1166</v>
      </c>
      <c r="B1083" s="8">
        <v>45998</v>
      </c>
      <c r="C1083" s="7" t="s">
        <v>39</v>
      </c>
      <c r="D1083" s="7" t="s">
        <v>40</v>
      </c>
      <c r="E1083" s="7" t="s">
        <v>47</v>
      </c>
      <c r="F1083" s="7" t="s">
        <v>42</v>
      </c>
      <c r="G1083" s="7" t="s">
        <v>43</v>
      </c>
      <c r="H1083" s="7" t="s">
        <v>44</v>
      </c>
      <c r="I1083" s="7">
        <v>27</v>
      </c>
      <c r="J1083" s="9">
        <v>251.76</v>
      </c>
      <c r="K1083" s="10">
        <v>0.1212</v>
      </c>
      <c r="L1083" s="9">
        <f t="shared" si="32"/>
        <v>5973.6605759999993</v>
      </c>
      <c r="M1083" s="9">
        <f>ROUND(L1083*0.6621,2)</f>
        <v>3955.16</v>
      </c>
      <c r="N1083" s="9">
        <f t="shared" si="33"/>
        <v>2018.5005759999995</v>
      </c>
    </row>
    <row r="1084" spans="1:14" x14ac:dyDescent="0.35">
      <c r="A1084" s="7" t="s">
        <v>1167</v>
      </c>
      <c r="B1084" s="8">
        <v>45998</v>
      </c>
      <c r="C1084" s="7" t="s">
        <v>46</v>
      </c>
      <c r="D1084" s="7" t="s">
        <v>40</v>
      </c>
      <c r="E1084" s="7" t="s">
        <v>91</v>
      </c>
      <c r="F1084" s="7" t="s">
        <v>48</v>
      </c>
      <c r="G1084" s="7" t="s">
        <v>55</v>
      </c>
      <c r="H1084" s="7" t="s">
        <v>74</v>
      </c>
      <c r="I1084" s="7">
        <v>2</v>
      </c>
      <c r="J1084" s="9">
        <v>126.65</v>
      </c>
      <c r="K1084" s="10">
        <v>3.7699999999999997E-2</v>
      </c>
      <c r="L1084" s="9">
        <f t="shared" si="32"/>
        <v>243.75059000000002</v>
      </c>
      <c r="M1084" s="9">
        <f>ROUND(L1084*0.6489,2)</f>
        <v>158.16999999999999</v>
      </c>
      <c r="N1084" s="9">
        <f t="shared" si="33"/>
        <v>85.580590000000029</v>
      </c>
    </row>
    <row r="1085" spans="1:14" x14ac:dyDescent="0.35">
      <c r="A1085" s="7" t="s">
        <v>1168</v>
      </c>
      <c r="B1085" s="8">
        <v>45998</v>
      </c>
      <c r="C1085" s="7" t="s">
        <v>52</v>
      </c>
      <c r="D1085" s="7" t="s">
        <v>40</v>
      </c>
      <c r="E1085" s="7" t="s">
        <v>91</v>
      </c>
      <c r="F1085" s="7" t="s">
        <v>48</v>
      </c>
      <c r="G1085" s="7" t="s">
        <v>55</v>
      </c>
      <c r="H1085" s="7" t="s">
        <v>56</v>
      </c>
      <c r="I1085" s="7">
        <v>2</v>
      </c>
      <c r="J1085" s="9">
        <v>124.92</v>
      </c>
      <c r="K1085" s="10">
        <v>4.2900000000000001E-2</v>
      </c>
      <c r="L1085" s="9">
        <f t="shared" si="32"/>
        <v>239.12186399999999</v>
      </c>
      <c r="M1085" s="9">
        <f>ROUND(L1085*0.6454,2)</f>
        <v>154.33000000000001</v>
      </c>
      <c r="N1085" s="9">
        <f t="shared" si="33"/>
        <v>84.791863999999975</v>
      </c>
    </row>
    <row r="1086" spans="1:14" x14ac:dyDescent="0.35">
      <c r="A1086" s="7" t="s">
        <v>1169</v>
      </c>
      <c r="B1086" s="8">
        <v>45999</v>
      </c>
      <c r="C1086" s="7" t="s">
        <v>46</v>
      </c>
      <c r="D1086" s="7" t="s">
        <v>40</v>
      </c>
      <c r="E1086" s="7" t="s">
        <v>91</v>
      </c>
      <c r="F1086" s="7" t="s">
        <v>48</v>
      </c>
      <c r="G1086" s="7" t="s">
        <v>55</v>
      </c>
      <c r="H1086" s="7" t="s">
        <v>74</v>
      </c>
      <c r="I1086" s="7">
        <v>2</v>
      </c>
      <c r="J1086" s="9">
        <v>131.79</v>
      </c>
      <c r="K1086" s="10">
        <v>7.7299999999999994E-2</v>
      </c>
      <c r="L1086" s="9">
        <f t="shared" si="32"/>
        <v>243.20526599999997</v>
      </c>
      <c r="M1086" s="9">
        <f>ROUND(L1086*0.6265,2)</f>
        <v>152.37</v>
      </c>
      <c r="N1086" s="9">
        <f t="shared" si="33"/>
        <v>90.835265999999962</v>
      </c>
    </row>
    <row r="1087" spans="1:14" x14ac:dyDescent="0.35">
      <c r="A1087" s="7" t="s">
        <v>1170</v>
      </c>
      <c r="B1087" s="8">
        <v>45999</v>
      </c>
      <c r="C1087" s="7" t="s">
        <v>46</v>
      </c>
      <c r="D1087" s="7" t="s">
        <v>69</v>
      </c>
      <c r="E1087" s="7" t="s">
        <v>107</v>
      </c>
      <c r="F1087" s="7" t="s">
        <v>59</v>
      </c>
      <c r="G1087" s="7" t="s">
        <v>43</v>
      </c>
      <c r="H1087" s="7" t="s">
        <v>50</v>
      </c>
      <c r="I1087" s="7">
        <v>9</v>
      </c>
      <c r="J1087" s="9">
        <v>56.38</v>
      </c>
      <c r="K1087" s="10">
        <v>0.10780000000000001</v>
      </c>
      <c r="L1087" s="9">
        <f t="shared" si="32"/>
        <v>452.720124</v>
      </c>
      <c r="M1087" s="9">
        <f>ROUND(L1087*0.2199,2)</f>
        <v>99.55</v>
      </c>
      <c r="N1087" s="9">
        <f t="shared" si="33"/>
        <v>353.17012399999999</v>
      </c>
    </row>
    <row r="1088" spans="1:14" x14ac:dyDescent="0.35">
      <c r="A1088" s="7" t="s">
        <v>1171</v>
      </c>
      <c r="B1088" s="8">
        <v>45999</v>
      </c>
      <c r="C1088" s="7" t="s">
        <v>52</v>
      </c>
      <c r="D1088" s="7" t="s">
        <v>69</v>
      </c>
      <c r="E1088" s="7" t="s">
        <v>70</v>
      </c>
      <c r="F1088" s="7" t="s">
        <v>59</v>
      </c>
      <c r="G1088" s="7" t="s">
        <v>49</v>
      </c>
      <c r="H1088" s="7" t="s">
        <v>83</v>
      </c>
      <c r="I1088" s="7">
        <v>10</v>
      </c>
      <c r="J1088" s="9">
        <v>141.36000000000001</v>
      </c>
      <c r="K1088" s="10">
        <v>5.11E-2</v>
      </c>
      <c r="L1088" s="9">
        <f t="shared" si="32"/>
        <v>1341.3650400000001</v>
      </c>
      <c r="M1088" s="9">
        <f>ROUND(L1088*0.2278,2)</f>
        <v>305.56</v>
      </c>
      <c r="N1088" s="9">
        <f t="shared" si="33"/>
        <v>1035.8050400000002</v>
      </c>
    </row>
    <row r="1089" spans="1:14" x14ac:dyDescent="0.35">
      <c r="A1089" s="7" t="s">
        <v>1172</v>
      </c>
      <c r="B1089" s="8">
        <v>46000</v>
      </c>
      <c r="C1089" s="7" t="s">
        <v>76</v>
      </c>
      <c r="D1089" s="7" t="s">
        <v>53</v>
      </c>
      <c r="E1089" s="7" t="s">
        <v>58</v>
      </c>
      <c r="F1089" s="7" t="s">
        <v>48</v>
      </c>
      <c r="G1089" s="7" t="s">
        <v>55</v>
      </c>
      <c r="H1089" s="7" t="s">
        <v>78</v>
      </c>
      <c r="I1089" s="7">
        <v>3</v>
      </c>
      <c r="J1089" s="9">
        <v>677.92</v>
      </c>
      <c r="K1089" s="10">
        <v>4.1000000000000002E-2</v>
      </c>
      <c r="L1089" s="9">
        <f t="shared" si="32"/>
        <v>1950.3758399999997</v>
      </c>
      <c r="M1089" s="9">
        <f>ROUND(L1089*0.714,2)</f>
        <v>1392.57</v>
      </c>
      <c r="N1089" s="9">
        <f t="shared" si="33"/>
        <v>557.80583999999976</v>
      </c>
    </row>
    <row r="1090" spans="1:14" x14ac:dyDescent="0.35">
      <c r="A1090" s="7" t="s">
        <v>1173</v>
      </c>
      <c r="B1090" s="8">
        <v>46000</v>
      </c>
      <c r="C1090" s="7" t="s">
        <v>52</v>
      </c>
      <c r="D1090" s="7" t="s">
        <v>40</v>
      </c>
      <c r="E1090" s="7" t="s">
        <v>91</v>
      </c>
      <c r="F1090" s="7" t="s">
        <v>42</v>
      </c>
      <c r="G1090" s="7" t="s">
        <v>43</v>
      </c>
      <c r="H1090" s="7" t="s">
        <v>64</v>
      </c>
      <c r="I1090" s="7">
        <v>38</v>
      </c>
      <c r="J1090" s="9">
        <v>125.17</v>
      </c>
      <c r="K1090" s="10">
        <v>0.1822</v>
      </c>
      <c r="L1090" s="9">
        <f t="shared" ref="L1090:L1153" si="34">I1090*J1090*(1-K1090)</f>
        <v>3889.8329880000001</v>
      </c>
      <c r="M1090" s="9">
        <f>ROUND(L1090*0.6495,2)</f>
        <v>2526.4499999999998</v>
      </c>
      <c r="N1090" s="9">
        <f t="shared" ref="N1090:N1153" si="35">L1090-M1090</f>
        <v>1363.3829880000003</v>
      </c>
    </row>
    <row r="1091" spans="1:14" x14ac:dyDescent="0.35">
      <c r="A1091" s="7" t="s">
        <v>1174</v>
      </c>
      <c r="B1091" s="8">
        <v>46000</v>
      </c>
      <c r="C1091" s="7" t="s">
        <v>46</v>
      </c>
      <c r="D1091" s="7" t="s">
        <v>40</v>
      </c>
      <c r="E1091" s="7" t="s">
        <v>91</v>
      </c>
      <c r="F1091" s="7" t="s">
        <v>48</v>
      </c>
      <c r="G1091" s="7" t="s">
        <v>55</v>
      </c>
      <c r="H1091" s="7" t="s">
        <v>74</v>
      </c>
      <c r="I1091" s="7">
        <v>3</v>
      </c>
      <c r="J1091" s="9">
        <v>126.02</v>
      </c>
      <c r="K1091" s="10">
        <v>2.3099999999999999E-2</v>
      </c>
      <c r="L1091" s="9">
        <f t="shared" si="34"/>
        <v>369.32681400000001</v>
      </c>
      <c r="M1091" s="9">
        <f>ROUND(L1091*0.6415,2)</f>
        <v>236.92</v>
      </c>
      <c r="N1091" s="9">
        <f t="shared" si="35"/>
        <v>132.40681400000003</v>
      </c>
    </row>
    <row r="1092" spans="1:14" x14ac:dyDescent="0.35">
      <c r="A1092" s="7" t="s">
        <v>1175</v>
      </c>
      <c r="B1092" s="8">
        <v>46000</v>
      </c>
      <c r="C1092" s="7" t="s">
        <v>52</v>
      </c>
      <c r="D1092" s="7" t="s">
        <v>40</v>
      </c>
      <c r="E1092" s="7" t="s">
        <v>139</v>
      </c>
      <c r="F1092" s="7" t="s">
        <v>48</v>
      </c>
      <c r="G1092" s="7" t="s">
        <v>55</v>
      </c>
      <c r="H1092" s="7" t="s">
        <v>56</v>
      </c>
      <c r="I1092" s="7">
        <v>2</v>
      </c>
      <c r="J1092" s="9">
        <v>341.2</v>
      </c>
      <c r="K1092" s="10">
        <v>6.83E-2</v>
      </c>
      <c r="L1092" s="9">
        <f t="shared" si="34"/>
        <v>635.79207999999994</v>
      </c>
      <c r="M1092" s="9">
        <f>ROUND(L1092*0.6219,2)</f>
        <v>395.4</v>
      </c>
      <c r="N1092" s="9">
        <f t="shared" si="35"/>
        <v>240.39207999999996</v>
      </c>
    </row>
    <row r="1093" spans="1:14" x14ac:dyDescent="0.35">
      <c r="A1093" s="7" t="s">
        <v>1176</v>
      </c>
      <c r="B1093" s="8">
        <v>46001</v>
      </c>
      <c r="C1093" s="7" t="s">
        <v>39</v>
      </c>
      <c r="D1093" s="7" t="s">
        <v>69</v>
      </c>
      <c r="E1093" s="7" t="s">
        <v>113</v>
      </c>
      <c r="F1093" s="7" t="s">
        <v>42</v>
      </c>
      <c r="G1093" s="7" t="s">
        <v>43</v>
      </c>
      <c r="H1093" s="7" t="s">
        <v>44</v>
      </c>
      <c r="I1093" s="7">
        <v>14</v>
      </c>
      <c r="J1093" s="9">
        <v>248.8</v>
      </c>
      <c r="K1093" s="10">
        <v>0.1174</v>
      </c>
      <c r="L1093" s="9">
        <f t="shared" si="34"/>
        <v>3074.2723200000005</v>
      </c>
      <c r="M1093" s="9">
        <f>ROUND(L1093*0.2636,2)</f>
        <v>810.38</v>
      </c>
      <c r="N1093" s="9">
        <f t="shared" si="35"/>
        <v>2263.8923200000004</v>
      </c>
    </row>
    <row r="1094" spans="1:14" x14ac:dyDescent="0.35">
      <c r="A1094" s="7" t="s">
        <v>1177</v>
      </c>
      <c r="B1094" s="8">
        <v>46001</v>
      </c>
      <c r="C1094" s="7" t="s">
        <v>46</v>
      </c>
      <c r="D1094" s="7" t="s">
        <v>40</v>
      </c>
      <c r="E1094" s="7" t="s">
        <v>41</v>
      </c>
      <c r="F1094" s="7" t="s">
        <v>48</v>
      </c>
      <c r="G1094" s="7" t="s">
        <v>55</v>
      </c>
      <c r="H1094" s="7" t="s">
        <v>74</v>
      </c>
      <c r="I1094" s="7">
        <v>2</v>
      </c>
      <c r="J1094" s="9">
        <v>404.53</v>
      </c>
      <c r="K1094" s="10">
        <v>2.64E-2</v>
      </c>
      <c r="L1094" s="9">
        <f t="shared" si="34"/>
        <v>787.70081599999992</v>
      </c>
      <c r="M1094" s="9">
        <f>ROUND(L1094*0.6645,2)</f>
        <v>523.42999999999995</v>
      </c>
      <c r="N1094" s="9">
        <f t="shared" si="35"/>
        <v>264.27081599999997</v>
      </c>
    </row>
    <row r="1095" spans="1:14" x14ac:dyDescent="0.35">
      <c r="A1095" s="7" t="s">
        <v>1178</v>
      </c>
      <c r="B1095" s="8">
        <v>46001</v>
      </c>
      <c r="C1095" s="7" t="s">
        <v>52</v>
      </c>
      <c r="D1095" s="7" t="s">
        <v>66</v>
      </c>
      <c r="E1095" s="7" t="s">
        <v>67</v>
      </c>
      <c r="F1095" s="7" t="s">
        <v>48</v>
      </c>
      <c r="G1095" s="7" t="s">
        <v>55</v>
      </c>
      <c r="H1095" s="7" t="s">
        <v>56</v>
      </c>
      <c r="I1095" s="7">
        <v>2</v>
      </c>
      <c r="J1095" s="9">
        <v>86.05</v>
      </c>
      <c r="K1095" s="10">
        <v>1.8200000000000001E-2</v>
      </c>
      <c r="L1095" s="9">
        <f t="shared" si="34"/>
        <v>168.96778</v>
      </c>
      <c r="M1095" s="9">
        <f>ROUND(L1095*0.5527,2)</f>
        <v>93.39</v>
      </c>
      <c r="N1095" s="9">
        <f t="shared" si="35"/>
        <v>75.577780000000004</v>
      </c>
    </row>
    <row r="1096" spans="1:14" x14ac:dyDescent="0.35">
      <c r="A1096" s="7" t="s">
        <v>1179</v>
      </c>
      <c r="B1096" s="8">
        <v>46001</v>
      </c>
      <c r="C1096" s="7" t="s">
        <v>52</v>
      </c>
      <c r="D1096" s="7" t="s">
        <v>66</v>
      </c>
      <c r="E1096" s="7" t="s">
        <v>67</v>
      </c>
      <c r="F1096" s="7" t="s">
        <v>59</v>
      </c>
      <c r="G1096" s="7" t="s">
        <v>49</v>
      </c>
      <c r="H1096" s="7" t="s">
        <v>64</v>
      </c>
      <c r="I1096" s="7">
        <v>8</v>
      </c>
      <c r="J1096" s="9">
        <v>89.35</v>
      </c>
      <c r="K1096" s="10">
        <v>0.1067</v>
      </c>
      <c r="L1096" s="9">
        <f t="shared" si="34"/>
        <v>638.5308399999999</v>
      </c>
      <c r="M1096" s="9">
        <f>ROUND(L1096*0.5634,2)</f>
        <v>359.75</v>
      </c>
      <c r="N1096" s="9">
        <f t="shared" si="35"/>
        <v>278.7808399999999</v>
      </c>
    </row>
    <row r="1097" spans="1:14" x14ac:dyDescent="0.35">
      <c r="A1097" s="7" t="s">
        <v>1180</v>
      </c>
      <c r="B1097" s="8">
        <v>46001</v>
      </c>
      <c r="C1097" s="7" t="s">
        <v>76</v>
      </c>
      <c r="D1097" s="7" t="s">
        <v>69</v>
      </c>
      <c r="E1097" s="7" t="s">
        <v>132</v>
      </c>
      <c r="F1097" s="7" t="s">
        <v>59</v>
      </c>
      <c r="G1097" s="7" t="s">
        <v>49</v>
      </c>
      <c r="H1097" s="7" t="s">
        <v>151</v>
      </c>
      <c r="I1097" s="7">
        <v>9</v>
      </c>
      <c r="J1097" s="9">
        <v>74.150000000000006</v>
      </c>
      <c r="K1097" s="10">
        <v>8.5099999999999995E-2</v>
      </c>
      <c r="L1097" s="9">
        <f t="shared" si="34"/>
        <v>610.55851500000006</v>
      </c>
      <c r="M1097" s="9">
        <f>ROUND(L1097*0.2516,2)</f>
        <v>153.62</v>
      </c>
      <c r="N1097" s="9">
        <f t="shared" si="35"/>
        <v>456.93851500000005</v>
      </c>
    </row>
    <row r="1098" spans="1:14" x14ac:dyDescent="0.35">
      <c r="A1098" s="7" t="s">
        <v>1181</v>
      </c>
      <c r="B1098" s="8">
        <v>46002</v>
      </c>
      <c r="C1098" s="7" t="s">
        <v>76</v>
      </c>
      <c r="D1098" s="7" t="s">
        <v>53</v>
      </c>
      <c r="E1098" s="7" t="s">
        <v>105</v>
      </c>
      <c r="F1098" s="7" t="s">
        <v>59</v>
      </c>
      <c r="G1098" s="7" t="s">
        <v>43</v>
      </c>
      <c r="H1098" s="7" t="s">
        <v>110</v>
      </c>
      <c r="I1098" s="7">
        <v>6</v>
      </c>
      <c r="J1098" s="9">
        <v>440.59</v>
      </c>
      <c r="K1098" s="10">
        <v>0.14269999999999999</v>
      </c>
      <c r="L1098" s="9">
        <f t="shared" si="34"/>
        <v>2266.306842</v>
      </c>
      <c r="M1098" s="9">
        <f>ROUND(L1098*0.738,2)</f>
        <v>1672.53</v>
      </c>
      <c r="N1098" s="9">
        <f t="shared" si="35"/>
        <v>593.77684199999999</v>
      </c>
    </row>
    <row r="1099" spans="1:14" x14ac:dyDescent="0.35">
      <c r="A1099" s="7" t="s">
        <v>1182</v>
      </c>
      <c r="B1099" s="8">
        <v>46002</v>
      </c>
      <c r="C1099" s="7" t="s">
        <v>46</v>
      </c>
      <c r="D1099" s="7" t="s">
        <v>69</v>
      </c>
      <c r="E1099" s="7" t="s">
        <v>132</v>
      </c>
      <c r="F1099" s="7" t="s">
        <v>42</v>
      </c>
      <c r="G1099" s="7" t="s">
        <v>43</v>
      </c>
      <c r="H1099" s="7" t="s">
        <v>50</v>
      </c>
      <c r="I1099" s="7">
        <v>21</v>
      </c>
      <c r="J1099" s="9">
        <v>74.959999999999994</v>
      </c>
      <c r="K1099" s="10">
        <v>0.21010000000000001</v>
      </c>
      <c r="L1099" s="9">
        <f t="shared" si="34"/>
        <v>1243.4289839999999</v>
      </c>
      <c r="M1099" s="9">
        <f>ROUND(L1099*0.2465,2)</f>
        <v>306.51</v>
      </c>
      <c r="N1099" s="9">
        <f t="shared" si="35"/>
        <v>936.91898399999991</v>
      </c>
    </row>
    <row r="1100" spans="1:14" x14ac:dyDescent="0.35">
      <c r="A1100" s="7" t="s">
        <v>1183</v>
      </c>
      <c r="B1100" s="8">
        <v>46002</v>
      </c>
      <c r="C1100" s="7" t="s">
        <v>46</v>
      </c>
      <c r="D1100" s="7" t="s">
        <v>53</v>
      </c>
      <c r="E1100" s="7" t="s">
        <v>81</v>
      </c>
      <c r="F1100" s="7" t="s">
        <v>48</v>
      </c>
      <c r="G1100" s="7" t="s">
        <v>55</v>
      </c>
      <c r="H1100" s="7" t="s">
        <v>74</v>
      </c>
      <c r="I1100" s="7">
        <v>3</v>
      </c>
      <c r="J1100" s="9">
        <v>1068.5</v>
      </c>
      <c r="K1100" s="10">
        <v>5.6399999999999999E-2</v>
      </c>
      <c r="L1100" s="9">
        <f t="shared" si="34"/>
        <v>3024.7098000000001</v>
      </c>
      <c r="M1100" s="9">
        <f>ROUND(L1100*0.7126,2)</f>
        <v>2155.41</v>
      </c>
      <c r="N1100" s="9">
        <f t="shared" si="35"/>
        <v>869.29980000000023</v>
      </c>
    </row>
    <row r="1101" spans="1:14" x14ac:dyDescent="0.35">
      <c r="A1101" s="7" t="s">
        <v>1184</v>
      </c>
      <c r="B1101" s="8">
        <v>46002</v>
      </c>
      <c r="C1101" s="7" t="s">
        <v>39</v>
      </c>
      <c r="D1101" s="7" t="s">
        <v>66</v>
      </c>
      <c r="E1101" s="7" t="s">
        <v>137</v>
      </c>
      <c r="F1101" s="7" t="s">
        <v>59</v>
      </c>
      <c r="G1101" s="7" t="s">
        <v>43</v>
      </c>
      <c r="H1101" s="7" t="s">
        <v>44</v>
      </c>
      <c r="I1101" s="7">
        <v>8</v>
      </c>
      <c r="J1101" s="9">
        <v>149.85</v>
      </c>
      <c r="K1101" s="10">
        <v>0.13100000000000001</v>
      </c>
      <c r="L1101" s="9">
        <f t="shared" si="34"/>
        <v>1041.7572</v>
      </c>
      <c r="M1101" s="9">
        <f>ROUND(L1101*0.6029,2)</f>
        <v>628.08000000000004</v>
      </c>
      <c r="N1101" s="9">
        <f t="shared" si="35"/>
        <v>413.67719999999997</v>
      </c>
    </row>
    <row r="1102" spans="1:14" x14ac:dyDescent="0.35">
      <c r="A1102" s="7" t="s">
        <v>1185</v>
      </c>
      <c r="B1102" s="8">
        <v>46002</v>
      </c>
      <c r="C1102" s="7" t="s">
        <v>52</v>
      </c>
      <c r="D1102" s="7" t="s">
        <v>40</v>
      </c>
      <c r="E1102" s="7" t="s">
        <v>47</v>
      </c>
      <c r="F1102" s="7" t="s">
        <v>42</v>
      </c>
      <c r="G1102" s="7" t="s">
        <v>43</v>
      </c>
      <c r="H1102" s="7" t="s">
        <v>71</v>
      </c>
      <c r="I1102" s="7">
        <v>9</v>
      </c>
      <c r="J1102" s="9">
        <v>240.91</v>
      </c>
      <c r="K1102" s="10">
        <v>0.18629999999999999</v>
      </c>
      <c r="L1102" s="9">
        <f t="shared" si="34"/>
        <v>1764.2562029999999</v>
      </c>
      <c r="M1102" s="9">
        <f>ROUND(L1102*0.636,2)</f>
        <v>1122.07</v>
      </c>
      <c r="N1102" s="9">
        <f t="shared" si="35"/>
        <v>642.18620299999998</v>
      </c>
    </row>
    <row r="1103" spans="1:14" x14ac:dyDescent="0.35">
      <c r="A1103" s="7" t="s">
        <v>1186</v>
      </c>
      <c r="B1103" s="8">
        <v>46002</v>
      </c>
      <c r="C1103" s="7" t="s">
        <v>39</v>
      </c>
      <c r="D1103" s="7" t="s">
        <v>53</v>
      </c>
      <c r="E1103" s="7" t="s">
        <v>81</v>
      </c>
      <c r="F1103" s="7" t="s">
        <v>59</v>
      </c>
      <c r="G1103" s="7" t="s">
        <v>49</v>
      </c>
      <c r="H1103" s="7" t="s">
        <v>44</v>
      </c>
      <c r="I1103" s="7">
        <v>10</v>
      </c>
      <c r="J1103" s="9">
        <v>1047.25</v>
      </c>
      <c r="K1103" s="10">
        <v>0.1295</v>
      </c>
      <c r="L1103" s="9">
        <f t="shared" si="34"/>
        <v>9116.3112500000007</v>
      </c>
      <c r="M1103" s="9">
        <f>ROUND(L1103*0.6882,2)</f>
        <v>6273.85</v>
      </c>
      <c r="N1103" s="9">
        <f t="shared" si="35"/>
        <v>2842.4612500000003</v>
      </c>
    </row>
    <row r="1104" spans="1:14" x14ac:dyDescent="0.35">
      <c r="A1104" s="7" t="s">
        <v>1187</v>
      </c>
      <c r="B1104" s="8">
        <v>46002</v>
      </c>
      <c r="C1104" s="7" t="s">
        <v>39</v>
      </c>
      <c r="D1104" s="7" t="s">
        <v>40</v>
      </c>
      <c r="E1104" s="7" t="s">
        <v>139</v>
      </c>
      <c r="F1104" s="7" t="s">
        <v>48</v>
      </c>
      <c r="G1104" s="7" t="s">
        <v>55</v>
      </c>
      <c r="H1104" s="7" t="s">
        <v>108</v>
      </c>
      <c r="I1104" s="7">
        <v>2</v>
      </c>
      <c r="J1104" s="9">
        <v>318.85000000000002</v>
      </c>
      <c r="K1104" s="10">
        <v>3.9199999999999999E-2</v>
      </c>
      <c r="L1104" s="9">
        <f t="shared" si="34"/>
        <v>612.70216000000005</v>
      </c>
      <c r="M1104" s="9">
        <f>ROUND(L1104*0.6427,2)</f>
        <v>393.78</v>
      </c>
      <c r="N1104" s="9">
        <f t="shared" si="35"/>
        <v>218.92216000000008</v>
      </c>
    </row>
    <row r="1105" spans="1:14" x14ac:dyDescent="0.35">
      <c r="A1105" s="7" t="s">
        <v>1188</v>
      </c>
      <c r="B1105" s="8">
        <v>46002</v>
      </c>
      <c r="C1105" s="7" t="s">
        <v>76</v>
      </c>
      <c r="D1105" s="7" t="s">
        <v>69</v>
      </c>
      <c r="E1105" s="7" t="s">
        <v>113</v>
      </c>
      <c r="F1105" s="7" t="s">
        <v>42</v>
      </c>
      <c r="G1105" s="7" t="s">
        <v>43</v>
      </c>
      <c r="H1105" s="7" t="s">
        <v>110</v>
      </c>
      <c r="I1105" s="7">
        <v>24</v>
      </c>
      <c r="J1105" s="9">
        <v>252.35</v>
      </c>
      <c r="K1105" s="10">
        <v>0.16139999999999999</v>
      </c>
      <c r="L1105" s="9">
        <f t="shared" si="34"/>
        <v>5078.8970399999998</v>
      </c>
      <c r="M1105" s="9">
        <f>ROUND(L1105*0.2118,2)</f>
        <v>1075.71</v>
      </c>
      <c r="N1105" s="9">
        <f t="shared" si="35"/>
        <v>4003.1870399999998</v>
      </c>
    </row>
    <row r="1106" spans="1:14" x14ac:dyDescent="0.35">
      <c r="A1106" s="7" t="s">
        <v>1189</v>
      </c>
      <c r="B1106" s="8">
        <v>46002</v>
      </c>
      <c r="C1106" s="7" t="s">
        <v>52</v>
      </c>
      <c r="D1106" s="7" t="s">
        <v>53</v>
      </c>
      <c r="E1106" s="7" t="s">
        <v>87</v>
      </c>
      <c r="F1106" s="7" t="s">
        <v>42</v>
      </c>
      <c r="G1106" s="7" t="s">
        <v>43</v>
      </c>
      <c r="H1106" s="7" t="s">
        <v>71</v>
      </c>
      <c r="I1106" s="7">
        <v>14</v>
      </c>
      <c r="J1106" s="9">
        <v>869.13</v>
      </c>
      <c r="K1106" s="10">
        <v>0.19869999999999999</v>
      </c>
      <c r="L1106" s="9">
        <f t="shared" si="34"/>
        <v>9750.0741660000003</v>
      </c>
      <c r="M1106" s="9">
        <f>ROUND(L1106*0.7102,2)</f>
        <v>6924.5</v>
      </c>
      <c r="N1106" s="9">
        <f t="shared" si="35"/>
        <v>2825.5741660000003</v>
      </c>
    </row>
    <row r="1107" spans="1:14" x14ac:dyDescent="0.35">
      <c r="A1107" s="7" t="s">
        <v>1190</v>
      </c>
      <c r="B1107" s="8">
        <v>46003</v>
      </c>
      <c r="C1107" s="7" t="s">
        <v>52</v>
      </c>
      <c r="D1107" s="7" t="s">
        <v>66</v>
      </c>
      <c r="E1107" s="7" t="s">
        <v>67</v>
      </c>
      <c r="F1107" s="7" t="s">
        <v>48</v>
      </c>
      <c r="G1107" s="7" t="s">
        <v>55</v>
      </c>
      <c r="H1107" s="7" t="s">
        <v>56</v>
      </c>
      <c r="I1107" s="7">
        <v>1</v>
      </c>
      <c r="J1107" s="9">
        <v>87.99</v>
      </c>
      <c r="K1107" s="10">
        <v>3.3599999999999998E-2</v>
      </c>
      <c r="L1107" s="9">
        <f t="shared" si="34"/>
        <v>85.033535999999998</v>
      </c>
      <c r="M1107" s="9">
        <f>ROUND(L1107*0.5894,2)</f>
        <v>50.12</v>
      </c>
      <c r="N1107" s="9">
        <f t="shared" si="35"/>
        <v>34.913536000000001</v>
      </c>
    </row>
    <row r="1108" spans="1:14" x14ac:dyDescent="0.35">
      <c r="A1108" s="7" t="s">
        <v>1191</v>
      </c>
      <c r="B1108" s="8">
        <v>46003</v>
      </c>
      <c r="C1108" s="7" t="s">
        <v>39</v>
      </c>
      <c r="D1108" s="7" t="s">
        <v>69</v>
      </c>
      <c r="E1108" s="7" t="s">
        <v>119</v>
      </c>
      <c r="F1108" s="7" t="s">
        <v>48</v>
      </c>
      <c r="G1108" s="7" t="s">
        <v>55</v>
      </c>
      <c r="H1108" s="7" t="s">
        <v>108</v>
      </c>
      <c r="I1108" s="7">
        <v>1</v>
      </c>
      <c r="J1108" s="9">
        <v>202.45</v>
      </c>
      <c r="K1108" s="10">
        <v>4.82E-2</v>
      </c>
      <c r="L1108" s="9">
        <f t="shared" si="34"/>
        <v>192.69190999999998</v>
      </c>
      <c r="M1108" s="9">
        <f>ROUND(L1108*0.244,2)</f>
        <v>47.02</v>
      </c>
      <c r="N1108" s="9">
        <f t="shared" si="35"/>
        <v>145.67190999999997</v>
      </c>
    </row>
    <row r="1109" spans="1:14" x14ac:dyDescent="0.35">
      <c r="A1109" s="7" t="s">
        <v>1192</v>
      </c>
      <c r="B1109" s="8">
        <v>46003</v>
      </c>
      <c r="C1109" s="7" t="s">
        <v>46</v>
      </c>
      <c r="D1109" s="7" t="s">
        <v>40</v>
      </c>
      <c r="E1109" s="7" t="s">
        <v>41</v>
      </c>
      <c r="F1109" s="7" t="s">
        <v>59</v>
      </c>
      <c r="G1109" s="7" t="s">
        <v>49</v>
      </c>
      <c r="H1109" s="7" t="s">
        <v>95</v>
      </c>
      <c r="I1109" s="7">
        <v>10</v>
      </c>
      <c r="J1109" s="9">
        <v>375.04</v>
      </c>
      <c r="K1109" s="10">
        <v>0.1239</v>
      </c>
      <c r="L1109" s="9">
        <f t="shared" si="34"/>
        <v>3285.7254400000002</v>
      </c>
      <c r="M1109" s="9">
        <f>ROUND(L1109*0.6537,2)</f>
        <v>2147.88</v>
      </c>
      <c r="N1109" s="9">
        <f t="shared" si="35"/>
        <v>1137.8454400000001</v>
      </c>
    </row>
    <row r="1110" spans="1:14" x14ac:dyDescent="0.35">
      <c r="A1110" s="7" t="s">
        <v>1193</v>
      </c>
      <c r="B1110" s="8">
        <v>46003</v>
      </c>
      <c r="C1110" s="7" t="s">
        <v>39</v>
      </c>
      <c r="D1110" s="7" t="s">
        <v>40</v>
      </c>
      <c r="E1110" s="7" t="s">
        <v>47</v>
      </c>
      <c r="F1110" s="7" t="s">
        <v>59</v>
      </c>
      <c r="G1110" s="7" t="s">
        <v>49</v>
      </c>
      <c r="H1110" s="7" t="s">
        <v>44</v>
      </c>
      <c r="I1110" s="7">
        <v>4</v>
      </c>
      <c r="J1110" s="9">
        <v>233.13</v>
      </c>
      <c r="K1110" s="10">
        <v>0.11360000000000001</v>
      </c>
      <c r="L1110" s="9">
        <f t="shared" si="34"/>
        <v>826.5857279999999</v>
      </c>
      <c r="M1110" s="9">
        <f>ROUND(L1110*0.6554,2)</f>
        <v>541.74</v>
      </c>
      <c r="N1110" s="9">
        <f t="shared" si="35"/>
        <v>284.84572799999989</v>
      </c>
    </row>
    <row r="1111" spans="1:14" x14ac:dyDescent="0.35">
      <c r="A1111" s="7" t="s">
        <v>1194</v>
      </c>
      <c r="B1111" s="8">
        <v>46003</v>
      </c>
      <c r="C1111" s="7" t="s">
        <v>39</v>
      </c>
      <c r="D1111" s="7" t="s">
        <v>69</v>
      </c>
      <c r="E1111" s="7" t="s">
        <v>70</v>
      </c>
      <c r="F1111" s="7" t="s">
        <v>48</v>
      </c>
      <c r="G1111" s="7" t="s">
        <v>55</v>
      </c>
      <c r="H1111" s="7" t="s">
        <v>108</v>
      </c>
      <c r="I1111" s="7">
        <v>1</v>
      </c>
      <c r="J1111" s="9">
        <v>150.06</v>
      </c>
      <c r="K1111" s="10">
        <v>2.9499999999999998E-2</v>
      </c>
      <c r="L1111" s="9">
        <f t="shared" si="34"/>
        <v>145.63323</v>
      </c>
      <c r="M1111" s="9">
        <f>ROUND(L1111*0.2548,2)</f>
        <v>37.11</v>
      </c>
      <c r="N1111" s="9">
        <f t="shared" si="35"/>
        <v>108.52323</v>
      </c>
    </row>
    <row r="1112" spans="1:14" x14ac:dyDescent="0.35">
      <c r="A1112" s="7" t="s">
        <v>1195</v>
      </c>
      <c r="B1112" s="8">
        <v>46004</v>
      </c>
      <c r="C1112" s="7" t="s">
        <v>76</v>
      </c>
      <c r="D1112" s="7" t="s">
        <v>53</v>
      </c>
      <c r="E1112" s="7" t="s">
        <v>58</v>
      </c>
      <c r="F1112" s="7" t="s">
        <v>59</v>
      </c>
      <c r="G1112" s="7" t="s">
        <v>55</v>
      </c>
      <c r="H1112" s="7" t="s">
        <v>78</v>
      </c>
      <c r="I1112" s="7">
        <v>4</v>
      </c>
      <c r="J1112" s="9">
        <v>716.7</v>
      </c>
      <c r="K1112" s="10">
        <v>5.8000000000000003E-2</v>
      </c>
      <c r="L1112" s="9">
        <f t="shared" si="34"/>
        <v>2700.5255999999999</v>
      </c>
      <c r="M1112" s="9">
        <f>ROUND(L1112*0.6988,2)</f>
        <v>1887.13</v>
      </c>
      <c r="N1112" s="9">
        <f t="shared" si="35"/>
        <v>813.39559999999983</v>
      </c>
    </row>
    <row r="1113" spans="1:14" x14ac:dyDescent="0.35">
      <c r="A1113" s="7" t="s">
        <v>1196</v>
      </c>
      <c r="B1113" s="8">
        <v>46004</v>
      </c>
      <c r="C1113" s="7" t="s">
        <v>46</v>
      </c>
      <c r="D1113" s="7" t="s">
        <v>66</v>
      </c>
      <c r="E1113" s="7" t="s">
        <v>67</v>
      </c>
      <c r="F1113" s="7" t="s">
        <v>59</v>
      </c>
      <c r="G1113" s="7" t="s">
        <v>49</v>
      </c>
      <c r="H1113" s="7" t="s">
        <v>50</v>
      </c>
      <c r="I1113" s="7">
        <v>10</v>
      </c>
      <c r="J1113" s="9">
        <v>83.69</v>
      </c>
      <c r="K1113" s="10">
        <v>0.1009</v>
      </c>
      <c r="L1113" s="9">
        <f t="shared" si="34"/>
        <v>752.45678999999996</v>
      </c>
      <c r="M1113" s="9">
        <f>ROUND(L1113*0.6042,2)</f>
        <v>454.63</v>
      </c>
      <c r="N1113" s="9">
        <f t="shared" si="35"/>
        <v>297.82678999999996</v>
      </c>
    </row>
    <row r="1114" spans="1:14" x14ac:dyDescent="0.35">
      <c r="A1114" s="7" t="s">
        <v>1197</v>
      </c>
      <c r="B1114" s="8">
        <v>46004</v>
      </c>
      <c r="C1114" s="7" t="s">
        <v>76</v>
      </c>
      <c r="D1114" s="7" t="s">
        <v>40</v>
      </c>
      <c r="E1114" s="7" t="s">
        <v>91</v>
      </c>
      <c r="F1114" s="7" t="s">
        <v>48</v>
      </c>
      <c r="G1114" s="7" t="s">
        <v>55</v>
      </c>
      <c r="H1114" s="7" t="s">
        <v>78</v>
      </c>
      <c r="I1114" s="7">
        <v>3</v>
      </c>
      <c r="J1114" s="9">
        <v>124.01</v>
      </c>
      <c r="K1114" s="10">
        <v>5.0900000000000001E-2</v>
      </c>
      <c r="L1114" s="9">
        <f t="shared" si="34"/>
        <v>353.09367300000002</v>
      </c>
      <c r="M1114" s="9">
        <f>ROUND(L1114*0.6598,2)</f>
        <v>232.97</v>
      </c>
      <c r="N1114" s="9">
        <f t="shared" si="35"/>
        <v>120.12367300000003</v>
      </c>
    </row>
    <row r="1115" spans="1:14" x14ac:dyDescent="0.35">
      <c r="A1115" s="7" t="s">
        <v>1198</v>
      </c>
      <c r="B1115" s="8">
        <v>46005</v>
      </c>
      <c r="C1115" s="7" t="s">
        <v>39</v>
      </c>
      <c r="D1115" s="7" t="s">
        <v>69</v>
      </c>
      <c r="E1115" s="7" t="s">
        <v>132</v>
      </c>
      <c r="F1115" s="7" t="s">
        <v>59</v>
      </c>
      <c r="G1115" s="7" t="s">
        <v>55</v>
      </c>
      <c r="H1115" s="7" t="s">
        <v>108</v>
      </c>
      <c r="I1115" s="7">
        <v>4</v>
      </c>
      <c r="J1115" s="9">
        <v>81.94</v>
      </c>
      <c r="K1115" s="10">
        <v>6.4600000000000005E-2</v>
      </c>
      <c r="L1115" s="9">
        <f t="shared" si="34"/>
        <v>306.586704</v>
      </c>
      <c r="M1115" s="9">
        <f>ROUND(L1115*0.2507,2)</f>
        <v>76.86</v>
      </c>
      <c r="N1115" s="9">
        <f t="shared" si="35"/>
        <v>229.72670399999998</v>
      </c>
    </row>
    <row r="1116" spans="1:14" x14ac:dyDescent="0.35">
      <c r="A1116" s="7" t="s">
        <v>1199</v>
      </c>
      <c r="B1116" s="8">
        <v>46005</v>
      </c>
      <c r="C1116" s="7" t="s">
        <v>76</v>
      </c>
      <c r="D1116" s="7" t="s">
        <v>69</v>
      </c>
      <c r="E1116" s="7" t="s">
        <v>113</v>
      </c>
      <c r="F1116" s="7" t="s">
        <v>48</v>
      </c>
      <c r="G1116" s="7" t="s">
        <v>49</v>
      </c>
      <c r="H1116" s="7" t="s">
        <v>110</v>
      </c>
      <c r="I1116" s="7">
        <v>1</v>
      </c>
      <c r="J1116" s="9">
        <v>239.91</v>
      </c>
      <c r="K1116" s="10">
        <v>7.4200000000000002E-2</v>
      </c>
      <c r="L1116" s="9">
        <f t="shared" si="34"/>
        <v>222.108678</v>
      </c>
      <c r="M1116" s="9">
        <f>ROUND(L1116*0.2283,2)</f>
        <v>50.71</v>
      </c>
      <c r="N1116" s="9">
        <f t="shared" si="35"/>
        <v>171.39867799999999</v>
      </c>
    </row>
    <row r="1117" spans="1:14" x14ac:dyDescent="0.35">
      <c r="A1117" s="7" t="s">
        <v>1200</v>
      </c>
      <c r="B1117" s="8">
        <v>46005</v>
      </c>
      <c r="C1117" s="7" t="s">
        <v>46</v>
      </c>
      <c r="D1117" s="7" t="s">
        <v>53</v>
      </c>
      <c r="E1117" s="7" t="s">
        <v>81</v>
      </c>
      <c r="F1117" s="7" t="s">
        <v>42</v>
      </c>
      <c r="G1117" s="7" t="s">
        <v>49</v>
      </c>
      <c r="H1117" s="7" t="s">
        <v>95</v>
      </c>
      <c r="I1117" s="7">
        <v>21</v>
      </c>
      <c r="J1117" s="9">
        <v>1072.03</v>
      </c>
      <c r="K1117" s="10">
        <v>0.1179</v>
      </c>
      <c r="L1117" s="9">
        <f t="shared" si="34"/>
        <v>19858.390922999999</v>
      </c>
      <c r="M1117" s="9">
        <f>ROUND(L1117*0.7011,2)</f>
        <v>13922.72</v>
      </c>
      <c r="N1117" s="9">
        <f t="shared" si="35"/>
        <v>5935.6709229999997</v>
      </c>
    </row>
    <row r="1118" spans="1:14" x14ac:dyDescent="0.35">
      <c r="A1118" s="7" t="s">
        <v>1201</v>
      </c>
      <c r="B1118" s="8">
        <v>46005</v>
      </c>
      <c r="C1118" s="7" t="s">
        <v>52</v>
      </c>
      <c r="D1118" s="7" t="s">
        <v>53</v>
      </c>
      <c r="E1118" s="7" t="s">
        <v>81</v>
      </c>
      <c r="F1118" s="7" t="s">
        <v>48</v>
      </c>
      <c r="G1118" s="7" t="s">
        <v>49</v>
      </c>
      <c r="H1118" s="7" t="s">
        <v>83</v>
      </c>
      <c r="I1118" s="7">
        <v>3</v>
      </c>
      <c r="J1118" s="9">
        <v>1089.45</v>
      </c>
      <c r="K1118" s="10">
        <v>4.4499999999999998E-2</v>
      </c>
      <c r="L1118" s="9">
        <f t="shared" si="34"/>
        <v>3122.9084250000005</v>
      </c>
      <c r="M1118" s="9">
        <f>ROUND(L1118*0.6828,2)</f>
        <v>2132.3200000000002</v>
      </c>
      <c r="N1118" s="9">
        <f t="shared" si="35"/>
        <v>990.58842500000037</v>
      </c>
    </row>
    <row r="1119" spans="1:14" x14ac:dyDescent="0.35">
      <c r="A1119" s="7" t="s">
        <v>1202</v>
      </c>
      <c r="B1119" s="8">
        <v>46005</v>
      </c>
      <c r="C1119" s="7" t="s">
        <v>52</v>
      </c>
      <c r="D1119" s="7" t="s">
        <v>66</v>
      </c>
      <c r="E1119" s="7" t="s">
        <v>67</v>
      </c>
      <c r="F1119" s="7" t="s">
        <v>42</v>
      </c>
      <c r="G1119" s="7" t="s">
        <v>43</v>
      </c>
      <c r="H1119" s="7" t="s">
        <v>64</v>
      </c>
      <c r="I1119" s="7">
        <v>32</v>
      </c>
      <c r="J1119" s="9">
        <v>90.38</v>
      </c>
      <c r="K1119" s="10">
        <v>0.18340000000000001</v>
      </c>
      <c r="L1119" s="9">
        <f t="shared" si="34"/>
        <v>2361.7378559999997</v>
      </c>
      <c r="M1119" s="9">
        <f>ROUND(L1119*0.5672,2)</f>
        <v>1339.58</v>
      </c>
      <c r="N1119" s="9">
        <f t="shared" si="35"/>
        <v>1022.1578559999998</v>
      </c>
    </row>
    <row r="1120" spans="1:14" x14ac:dyDescent="0.35">
      <c r="A1120" s="7" t="s">
        <v>1203</v>
      </c>
      <c r="B1120" s="8">
        <v>46005</v>
      </c>
      <c r="C1120" s="7" t="s">
        <v>52</v>
      </c>
      <c r="D1120" s="7" t="s">
        <v>69</v>
      </c>
      <c r="E1120" s="7" t="s">
        <v>132</v>
      </c>
      <c r="F1120" s="7" t="s">
        <v>59</v>
      </c>
      <c r="G1120" s="7" t="s">
        <v>49</v>
      </c>
      <c r="H1120" s="7" t="s">
        <v>64</v>
      </c>
      <c r="I1120" s="7">
        <v>4</v>
      </c>
      <c r="J1120" s="9">
        <v>74.11</v>
      </c>
      <c r="K1120" s="10">
        <v>8.6199999999999999E-2</v>
      </c>
      <c r="L1120" s="9">
        <f t="shared" si="34"/>
        <v>270.88687199999998</v>
      </c>
      <c r="M1120" s="9">
        <f>ROUND(L1120*0.2659,2)</f>
        <v>72.03</v>
      </c>
      <c r="N1120" s="9">
        <f t="shared" si="35"/>
        <v>198.85687199999998</v>
      </c>
    </row>
    <row r="1121" spans="1:14" x14ac:dyDescent="0.35">
      <c r="A1121" s="7" t="s">
        <v>1204</v>
      </c>
      <c r="B1121" s="8">
        <v>46005</v>
      </c>
      <c r="C1121" s="7" t="s">
        <v>39</v>
      </c>
      <c r="D1121" s="7" t="s">
        <v>53</v>
      </c>
      <c r="E1121" s="7" t="s">
        <v>105</v>
      </c>
      <c r="F1121" s="7" t="s">
        <v>59</v>
      </c>
      <c r="G1121" s="7" t="s">
        <v>43</v>
      </c>
      <c r="H1121" s="7" t="s">
        <v>44</v>
      </c>
      <c r="I1121" s="7">
        <v>5</v>
      </c>
      <c r="J1121" s="9">
        <v>448.58</v>
      </c>
      <c r="K1121" s="10">
        <v>0.11650000000000001</v>
      </c>
      <c r="L1121" s="9">
        <f t="shared" si="34"/>
        <v>1981.6021499999999</v>
      </c>
      <c r="M1121" s="9">
        <f>ROUND(L1121*0.6834,2)</f>
        <v>1354.23</v>
      </c>
      <c r="N1121" s="9">
        <f t="shared" si="35"/>
        <v>627.37214999999992</v>
      </c>
    </row>
    <row r="1122" spans="1:14" x14ac:dyDescent="0.35">
      <c r="A1122" s="7" t="s">
        <v>1205</v>
      </c>
      <c r="B1122" s="8">
        <v>46005</v>
      </c>
      <c r="C1122" s="7" t="s">
        <v>76</v>
      </c>
      <c r="D1122" s="7" t="s">
        <v>66</v>
      </c>
      <c r="E1122" s="7" t="s">
        <v>137</v>
      </c>
      <c r="F1122" s="7" t="s">
        <v>59</v>
      </c>
      <c r="G1122" s="7" t="s">
        <v>55</v>
      </c>
      <c r="H1122" s="7" t="s">
        <v>78</v>
      </c>
      <c r="I1122" s="7">
        <v>6</v>
      </c>
      <c r="J1122" s="9">
        <v>165.32</v>
      </c>
      <c r="K1122" s="10">
        <v>8.5500000000000007E-2</v>
      </c>
      <c r="L1122" s="9">
        <f t="shared" si="34"/>
        <v>907.11083999999994</v>
      </c>
      <c r="M1122" s="9">
        <f>ROUND(L1122*0.6075,2)</f>
        <v>551.07000000000005</v>
      </c>
      <c r="N1122" s="9">
        <f t="shared" si="35"/>
        <v>356.04083999999989</v>
      </c>
    </row>
    <row r="1123" spans="1:14" x14ac:dyDescent="0.35">
      <c r="A1123" s="7" t="s">
        <v>1206</v>
      </c>
      <c r="B1123" s="8">
        <v>46006</v>
      </c>
      <c r="C1123" s="7" t="s">
        <v>39</v>
      </c>
      <c r="D1123" s="7" t="s">
        <v>40</v>
      </c>
      <c r="E1123" s="7" t="s">
        <v>139</v>
      </c>
      <c r="F1123" s="7" t="s">
        <v>48</v>
      </c>
      <c r="G1123" s="7" t="s">
        <v>55</v>
      </c>
      <c r="H1123" s="7" t="s">
        <v>108</v>
      </c>
      <c r="I1123" s="7">
        <v>2</v>
      </c>
      <c r="J1123" s="9">
        <v>332.6</v>
      </c>
      <c r="K1123" s="10">
        <v>3.9800000000000002E-2</v>
      </c>
      <c r="L1123" s="9">
        <f t="shared" si="34"/>
        <v>638.72504000000004</v>
      </c>
      <c r="M1123" s="9">
        <f>ROUND(L1123*0.6413,2)</f>
        <v>409.61</v>
      </c>
      <c r="N1123" s="9">
        <f t="shared" si="35"/>
        <v>229.11504000000002</v>
      </c>
    </row>
    <row r="1124" spans="1:14" x14ac:dyDescent="0.35">
      <c r="A1124" s="7" t="s">
        <v>1207</v>
      </c>
      <c r="B1124" s="8">
        <v>46007</v>
      </c>
      <c r="C1124" s="7" t="s">
        <v>39</v>
      </c>
      <c r="D1124" s="7" t="s">
        <v>40</v>
      </c>
      <c r="E1124" s="7" t="s">
        <v>41</v>
      </c>
      <c r="F1124" s="7" t="s">
        <v>48</v>
      </c>
      <c r="G1124" s="7" t="s">
        <v>49</v>
      </c>
      <c r="H1124" s="7" t="s">
        <v>60</v>
      </c>
      <c r="I1124" s="7">
        <v>1</v>
      </c>
      <c r="J1124" s="9">
        <v>387.64</v>
      </c>
      <c r="K1124" s="10">
        <v>4.2599999999999999E-2</v>
      </c>
      <c r="L1124" s="9">
        <f t="shared" si="34"/>
        <v>371.12653599999999</v>
      </c>
      <c r="M1124" s="9">
        <f>ROUND(L1124*0.6162,2)</f>
        <v>228.69</v>
      </c>
      <c r="N1124" s="9">
        <f t="shared" si="35"/>
        <v>142.43653599999999</v>
      </c>
    </row>
    <row r="1125" spans="1:14" x14ac:dyDescent="0.35">
      <c r="A1125" s="7" t="s">
        <v>1208</v>
      </c>
      <c r="B1125" s="8">
        <v>46007</v>
      </c>
      <c r="C1125" s="7" t="s">
        <v>52</v>
      </c>
      <c r="D1125" s="7" t="s">
        <v>69</v>
      </c>
      <c r="E1125" s="7" t="s">
        <v>70</v>
      </c>
      <c r="F1125" s="7" t="s">
        <v>48</v>
      </c>
      <c r="G1125" s="7" t="s">
        <v>55</v>
      </c>
      <c r="H1125" s="7" t="s">
        <v>56</v>
      </c>
      <c r="I1125" s="7">
        <v>3</v>
      </c>
      <c r="J1125" s="9">
        <v>152.52000000000001</v>
      </c>
      <c r="K1125" s="10">
        <v>4.4499999999999998E-2</v>
      </c>
      <c r="L1125" s="9">
        <f t="shared" si="34"/>
        <v>437.19858000000005</v>
      </c>
      <c r="M1125" s="9">
        <f>ROUND(L1125*0.2628,2)</f>
        <v>114.9</v>
      </c>
      <c r="N1125" s="9">
        <f t="shared" si="35"/>
        <v>322.29858000000002</v>
      </c>
    </row>
    <row r="1126" spans="1:14" x14ac:dyDescent="0.35">
      <c r="A1126" s="7" t="s">
        <v>1209</v>
      </c>
      <c r="B1126" s="8">
        <v>46007</v>
      </c>
      <c r="C1126" s="7" t="s">
        <v>39</v>
      </c>
      <c r="D1126" s="7" t="s">
        <v>40</v>
      </c>
      <c r="E1126" s="7" t="s">
        <v>91</v>
      </c>
      <c r="F1126" s="7" t="s">
        <v>48</v>
      </c>
      <c r="G1126" s="7" t="s">
        <v>55</v>
      </c>
      <c r="H1126" s="7" t="s">
        <v>108</v>
      </c>
      <c r="I1126" s="7">
        <v>3</v>
      </c>
      <c r="J1126" s="9">
        <v>128.19999999999999</v>
      </c>
      <c r="K1126" s="10">
        <v>4.8599999999999997E-2</v>
      </c>
      <c r="L1126" s="9">
        <f t="shared" si="34"/>
        <v>365.90843999999998</v>
      </c>
      <c r="M1126" s="9">
        <f>ROUND(L1126*0.6206,2)</f>
        <v>227.08</v>
      </c>
      <c r="N1126" s="9">
        <f t="shared" si="35"/>
        <v>138.82843999999997</v>
      </c>
    </row>
    <row r="1127" spans="1:14" x14ac:dyDescent="0.35">
      <c r="A1127" s="7" t="s">
        <v>1210</v>
      </c>
      <c r="B1127" s="8">
        <v>46008</v>
      </c>
      <c r="C1127" s="7" t="s">
        <v>46</v>
      </c>
      <c r="D1127" s="7" t="s">
        <v>69</v>
      </c>
      <c r="E1127" s="7" t="s">
        <v>132</v>
      </c>
      <c r="F1127" s="7" t="s">
        <v>42</v>
      </c>
      <c r="G1127" s="7" t="s">
        <v>43</v>
      </c>
      <c r="H1127" s="7" t="s">
        <v>95</v>
      </c>
      <c r="I1127" s="7">
        <v>34</v>
      </c>
      <c r="J1127" s="9">
        <v>80.28</v>
      </c>
      <c r="K1127" s="10">
        <v>0.15890000000000001</v>
      </c>
      <c r="L1127" s="9">
        <f t="shared" si="34"/>
        <v>2295.7992719999997</v>
      </c>
      <c r="M1127" s="9">
        <f>ROUND(L1127*0.2648,2)</f>
        <v>607.92999999999995</v>
      </c>
      <c r="N1127" s="9">
        <f t="shared" si="35"/>
        <v>1687.8692719999999</v>
      </c>
    </row>
    <row r="1128" spans="1:14" x14ac:dyDescent="0.35">
      <c r="A1128" s="7" t="s">
        <v>1211</v>
      </c>
      <c r="B1128" s="8">
        <v>46008</v>
      </c>
      <c r="C1128" s="7" t="s">
        <v>76</v>
      </c>
      <c r="D1128" s="7" t="s">
        <v>66</v>
      </c>
      <c r="E1128" s="7" t="s">
        <v>73</v>
      </c>
      <c r="F1128" s="7" t="s">
        <v>59</v>
      </c>
      <c r="G1128" s="7" t="s">
        <v>43</v>
      </c>
      <c r="H1128" s="7" t="s">
        <v>110</v>
      </c>
      <c r="I1128" s="7">
        <v>3</v>
      </c>
      <c r="J1128" s="9">
        <v>39.17</v>
      </c>
      <c r="K1128" s="10">
        <v>0.12509999999999999</v>
      </c>
      <c r="L1128" s="9">
        <f t="shared" si="34"/>
        <v>102.809499</v>
      </c>
      <c r="M1128" s="9">
        <f>ROUND(L1128*0.5716,2)</f>
        <v>58.77</v>
      </c>
      <c r="N1128" s="9">
        <f t="shared" si="35"/>
        <v>44.039498999999999</v>
      </c>
    </row>
    <row r="1129" spans="1:14" x14ac:dyDescent="0.35">
      <c r="A1129" s="7" t="s">
        <v>1212</v>
      </c>
      <c r="B1129" s="8">
        <v>46008</v>
      </c>
      <c r="C1129" s="7" t="s">
        <v>39</v>
      </c>
      <c r="D1129" s="7" t="s">
        <v>69</v>
      </c>
      <c r="E1129" s="7" t="s">
        <v>113</v>
      </c>
      <c r="F1129" s="7" t="s">
        <v>48</v>
      </c>
      <c r="G1129" s="7" t="s">
        <v>55</v>
      </c>
      <c r="H1129" s="7" t="s">
        <v>108</v>
      </c>
      <c r="I1129" s="7">
        <v>3</v>
      </c>
      <c r="J1129" s="9">
        <v>245.63</v>
      </c>
      <c r="K1129" s="10">
        <v>3.61E-2</v>
      </c>
      <c r="L1129" s="9">
        <f t="shared" si="34"/>
        <v>710.28827100000001</v>
      </c>
      <c r="M1129" s="9">
        <f>ROUND(L1129*0.2664,2)</f>
        <v>189.22</v>
      </c>
      <c r="N1129" s="9">
        <f t="shared" si="35"/>
        <v>521.06827099999998</v>
      </c>
    </row>
    <row r="1130" spans="1:14" x14ac:dyDescent="0.35">
      <c r="A1130" s="7" t="s">
        <v>1213</v>
      </c>
      <c r="B1130" s="8">
        <v>46008</v>
      </c>
      <c r="C1130" s="7" t="s">
        <v>76</v>
      </c>
      <c r="D1130" s="7" t="s">
        <v>53</v>
      </c>
      <c r="E1130" s="7" t="s">
        <v>58</v>
      </c>
      <c r="F1130" s="7" t="s">
        <v>42</v>
      </c>
      <c r="G1130" s="7" t="s">
        <v>43</v>
      </c>
      <c r="H1130" s="7" t="s">
        <v>151</v>
      </c>
      <c r="I1130" s="7">
        <v>16</v>
      </c>
      <c r="J1130" s="9">
        <v>676.2</v>
      </c>
      <c r="K1130" s="10">
        <v>0.13639999999999999</v>
      </c>
      <c r="L1130" s="9">
        <f t="shared" si="34"/>
        <v>9343.4611200000018</v>
      </c>
      <c r="M1130" s="9">
        <f>ROUND(L1130*0.7314,2)</f>
        <v>6833.81</v>
      </c>
      <c r="N1130" s="9">
        <f t="shared" si="35"/>
        <v>2509.6511200000014</v>
      </c>
    </row>
    <row r="1131" spans="1:14" x14ac:dyDescent="0.35">
      <c r="A1131" s="7" t="s">
        <v>1214</v>
      </c>
      <c r="B1131" s="8">
        <v>46008</v>
      </c>
      <c r="C1131" s="7" t="s">
        <v>76</v>
      </c>
      <c r="D1131" s="7" t="s">
        <v>53</v>
      </c>
      <c r="E1131" s="7" t="s">
        <v>81</v>
      </c>
      <c r="F1131" s="7" t="s">
        <v>59</v>
      </c>
      <c r="G1131" s="7" t="s">
        <v>43</v>
      </c>
      <c r="H1131" s="7" t="s">
        <v>151</v>
      </c>
      <c r="I1131" s="7">
        <v>3</v>
      </c>
      <c r="J1131" s="9">
        <v>1058.94</v>
      </c>
      <c r="K1131" s="10">
        <v>0.1245</v>
      </c>
      <c r="L1131" s="9">
        <f t="shared" si="34"/>
        <v>2781.30591</v>
      </c>
      <c r="M1131" s="9">
        <f>ROUND(L1131*0.7078,2)</f>
        <v>1968.61</v>
      </c>
      <c r="N1131" s="9">
        <f t="shared" si="35"/>
        <v>812.69591000000014</v>
      </c>
    </row>
    <row r="1132" spans="1:14" x14ac:dyDescent="0.35">
      <c r="A1132" s="7" t="s">
        <v>1215</v>
      </c>
      <c r="B1132" s="8">
        <v>46008</v>
      </c>
      <c r="C1132" s="7" t="s">
        <v>39</v>
      </c>
      <c r="D1132" s="7" t="s">
        <v>69</v>
      </c>
      <c r="E1132" s="7" t="s">
        <v>119</v>
      </c>
      <c r="F1132" s="7" t="s">
        <v>48</v>
      </c>
      <c r="G1132" s="7" t="s">
        <v>49</v>
      </c>
      <c r="H1132" s="7" t="s">
        <v>60</v>
      </c>
      <c r="I1132" s="7">
        <v>3</v>
      </c>
      <c r="J1132" s="9">
        <v>186.81</v>
      </c>
      <c r="K1132" s="10">
        <v>7.9000000000000008E-3</v>
      </c>
      <c r="L1132" s="9">
        <f t="shared" si="34"/>
        <v>556.00260300000002</v>
      </c>
      <c r="M1132" s="9">
        <f>ROUND(L1132*0.2389,2)</f>
        <v>132.83000000000001</v>
      </c>
      <c r="N1132" s="9">
        <f t="shared" si="35"/>
        <v>423.17260299999998</v>
      </c>
    </row>
    <row r="1133" spans="1:14" x14ac:dyDescent="0.35">
      <c r="A1133" s="7" t="s">
        <v>1216</v>
      </c>
      <c r="B1133" s="8">
        <v>46008</v>
      </c>
      <c r="C1133" s="7" t="s">
        <v>52</v>
      </c>
      <c r="D1133" s="7" t="s">
        <v>66</v>
      </c>
      <c r="E1133" s="7" t="s">
        <v>137</v>
      </c>
      <c r="F1133" s="7" t="s">
        <v>48</v>
      </c>
      <c r="G1133" s="7" t="s">
        <v>49</v>
      </c>
      <c r="H1133" s="7" t="s">
        <v>71</v>
      </c>
      <c r="I1133" s="7">
        <v>3</v>
      </c>
      <c r="J1133" s="9">
        <v>149.96</v>
      </c>
      <c r="K1133" s="10">
        <v>1.7000000000000001E-2</v>
      </c>
      <c r="L1133" s="9">
        <f t="shared" si="34"/>
        <v>442.23203999999998</v>
      </c>
      <c r="M1133" s="9">
        <f>ROUND(L1133*0.6048,2)</f>
        <v>267.45999999999998</v>
      </c>
      <c r="N1133" s="9">
        <f t="shared" si="35"/>
        <v>174.77204</v>
      </c>
    </row>
    <row r="1134" spans="1:14" x14ac:dyDescent="0.35">
      <c r="A1134" s="7" t="s">
        <v>1217</v>
      </c>
      <c r="B1134" s="8">
        <v>46008</v>
      </c>
      <c r="C1134" s="7" t="s">
        <v>39</v>
      </c>
      <c r="D1134" s="7" t="s">
        <v>40</v>
      </c>
      <c r="E1134" s="7" t="s">
        <v>91</v>
      </c>
      <c r="F1134" s="7" t="s">
        <v>59</v>
      </c>
      <c r="G1134" s="7" t="s">
        <v>55</v>
      </c>
      <c r="H1134" s="7" t="s">
        <v>108</v>
      </c>
      <c r="I1134" s="7">
        <v>5</v>
      </c>
      <c r="J1134" s="9">
        <v>124.21</v>
      </c>
      <c r="K1134" s="10">
        <v>5.7700000000000001E-2</v>
      </c>
      <c r="L1134" s="9">
        <f t="shared" si="34"/>
        <v>585.21541500000001</v>
      </c>
      <c r="M1134" s="9">
        <f>ROUND(L1134*0.6364,2)</f>
        <v>372.43</v>
      </c>
      <c r="N1134" s="9">
        <f t="shared" si="35"/>
        <v>212.785415</v>
      </c>
    </row>
    <row r="1135" spans="1:14" x14ac:dyDescent="0.35">
      <c r="A1135" s="7" t="s">
        <v>1218</v>
      </c>
      <c r="B1135" s="8">
        <v>46008</v>
      </c>
      <c r="C1135" s="7" t="s">
        <v>46</v>
      </c>
      <c r="D1135" s="7" t="s">
        <v>53</v>
      </c>
      <c r="E1135" s="7" t="s">
        <v>87</v>
      </c>
      <c r="F1135" s="7" t="s">
        <v>48</v>
      </c>
      <c r="G1135" s="7" t="s">
        <v>55</v>
      </c>
      <c r="H1135" s="7" t="s">
        <v>74</v>
      </c>
      <c r="I1135" s="7">
        <v>3</v>
      </c>
      <c r="J1135" s="9">
        <v>887.44</v>
      </c>
      <c r="K1135" s="10">
        <v>6.3100000000000003E-2</v>
      </c>
      <c r="L1135" s="9">
        <f t="shared" si="34"/>
        <v>2494.3276080000001</v>
      </c>
      <c r="M1135" s="9">
        <f>ROUND(L1135*0.7272,2)</f>
        <v>1813.88</v>
      </c>
      <c r="N1135" s="9">
        <f t="shared" si="35"/>
        <v>680.44760799999995</v>
      </c>
    </row>
    <row r="1136" spans="1:14" x14ac:dyDescent="0.35">
      <c r="A1136" s="7" t="s">
        <v>1219</v>
      </c>
      <c r="B1136" s="8">
        <v>46009</v>
      </c>
      <c r="C1136" s="7" t="s">
        <v>76</v>
      </c>
      <c r="D1136" s="7" t="s">
        <v>66</v>
      </c>
      <c r="E1136" s="7" t="s">
        <v>98</v>
      </c>
      <c r="F1136" s="7" t="s">
        <v>48</v>
      </c>
      <c r="G1136" s="7" t="s">
        <v>55</v>
      </c>
      <c r="H1136" s="7" t="s">
        <v>78</v>
      </c>
      <c r="I1136" s="7">
        <v>2</v>
      </c>
      <c r="J1136" s="9">
        <v>28.75</v>
      </c>
      <c r="K1136" s="10">
        <v>6.0199999999999997E-2</v>
      </c>
      <c r="L1136" s="9">
        <f t="shared" si="34"/>
        <v>54.038499999999999</v>
      </c>
      <c r="M1136" s="9">
        <f>ROUND(L1136*0.594,2)</f>
        <v>32.1</v>
      </c>
      <c r="N1136" s="9">
        <f t="shared" si="35"/>
        <v>21.938499999999998</v>
      </c>
    </row>
    <row r="1137" spans="1:14" x14ac:dyDescent="0.35">
      <c r="A1137" s="7" t="s">
        <v>1220</v>
      </c>
      <c r="B1137" s="8">
        <v>46010</v>
      </c>
      <c r="C1137" s="7" t="s">
        <v>39</v>
      </c>
      <c r="D1137" s="7" t="s">
        <v>53</v>
      </c>
      <c r="E1137" s="7" t="s">
        <v>58</v>
      </c>
      <c r="F1137" s="7" t="s">
        <v>48</v>
      </c>
      <c r="G1137" s="7" t="s">
        <v>55</v>
      </c>
      <c r="H1137" s="7" t="s">
        <v>108</v>
      </c>
      <c r="I1137" s="7">
        <v>3</v>
      </c>
      <c r="J1137" s="9">
        <v>717.68</v>
      </c>
      <c r="K1137" s="10">
        <v>2.8199999999999999E-2</v>
      </c>
      <c r="L1137" s="9">
        <f t="shared" si="34"/>
        <v>2092.3242719999998</v>
      </c>
      <c r="M1137" s="9">
        <f>ROUND(L1137*0.6883,2)</f>
        <v>1440.15</v>
      </c>
      <c r="N1137" s="9">
        <f t="shared" si="35"/>
        <v>652.17427199999975</v>
      </c>
    </row>
    <row r="1138" spans="1:14" x14ac:dyDescent="0.35">
      <c r="A1138" s="7" t="s">
        <v>1221</v>
      </c>
      <c r="B1138" s="8">
        <v>46010</v>
      </c>
      <c r="C1138" s="7" t="s">
        <v>46</v>
      </c>
      <c r="D1138" s="7" t="s">
        <v>66</v>
      </c>
      <c r="E1138" s="7" t="s">
        <v>77</v>
      </c>
      <c r="F1138" s="7" t="s">
        <v>59</v>
      </c>
      <c r="G1138" s="7" t="s">
        <v>49</v>
      </c>
      <c r="H1138" s="7" t="s">
        <v>50</v>
      </c>
      <c r="I1138" s="7">
        <v>9</v>
      </c>
      <c r="J1138" s="9">
        <v>98.44</v>
      </c>
      <c r="K1138" s="10">
        <v>9.0200000000000002E-2</v>
      </c>
      <c r="L1138" s="9">
        <f t="shared" si="34"/>
        <v>806.04640799999993</v>
      </c>
      <c r="M1138" s="9">
        <f>ROUND(L1138*0.567,2)</f>
        <v>457.03</v>
      </c>
      <c r="N1138" s="9">
        <f t="shared" si="35"/>
        <v>349.01640799999996</v>
      </c>
    </row>
    <row r="1139" spans="1:14" x14ac:dyDescent="0.35">
      <c r="A1139" s="7" t="s">
        <v>1222</v>
      </c>
      <c r="B1139" s="8">
        <v>46010</v>
      </c>
      <c r="C1139" s="7" t="s">
        <v>46</v>
      </c>
      <c r="D1139" s="7" t="s">
        <v>40</v>
      </c>
      <c r="E1139" s="7" t="s">
        <v>139</v>
      </c>
      <c r="F1139" s="7" t="s">
        <v>48</v>
      </c>
      <c r="G1139" s="7" t="s">
        <v>49</v>
      </c>
      <c r="H1139" s="7" t="s">
        <v>95</v>
      </c>
      <c r="I1139" s="7">
        <v>3</v>
      </c>
      <c r="J1139" s="9">
        <v>329.78</v>
      </c>
      <c r="K1139" s="10">
        <v>7.4399999999999994E-2</v>
      </c>
      <c r="L1139" s="9">
        <f t="shared" si="34"/>
        <v>915.73310399999991</v>
      </c>
      <c r="M1139" s="9">
        <f>ROUND(L1139*0.632,2)</f>
        <v>578.74</v>
      </c>
      <c r="N1139" s="9">
        <f t="shared" si="35"/>
        <v>336.9931039999999</v>
      </c>
    </row>
    <row r="1140" spans="1:14" x14ac:dyDescent="0.35">
      <c r="A1140" s="7" t="s">
        <v>1223</v>
      </c>
      <c r="B1140" s="8">
        <v>46010</v>
      </c>
      <c r="C1140" s="7" t="s">
        <v>46</v>
      </c>
      <c r="D1140" s="7" t="s">
        <v>66</v>
      </c>
      <c r="E1140" s="7" t="s">
        <v>77</v>
      </c>
      <c r="F1140" s="7" t="s">
        <v>48</v>
      </c>
      <c r="G1140" s="7" t="s">
        <v>55</v>
      </c>
      <c r="H1140" s="7" t="s">
        <v>74</v>
      </c>
      <c r="I1140" s="7">
        <v>3</v>
      </c>
      <c r="J1140" s="9">
        <v>95.78</v>
      </c>
      <c r="K1140" s="10">
        <v>4.02E-2</v>
      </c>
      <c r="L1140" s="9">
        <f t="shared" si="34"/>
        <v>275.78893200000005</v>
      </c>
      <c r="M1140" s="9">
        <f>ROUND(L1140*0.5885,2)</f>
        <v>162.30000000000001</v>
      </c>
      <c r="N1140" s="9">
        <f t="shared" si="35"/>
        <v>113.48893200000003</v>
      </c>
    </row>
    <row r="1141" spans="1:14" x14ac:dyDescent="0.35">
      <c r="A1141" s="7" t="s">
        <v>1224</v>
      </c>
      <c r="B1141" s="8">
        <v>46010</v>
      </c>
      <c r="C1141" s="7" t="s">
        <v>76</v>
      </c>
      <c r="D1141" s="7" t="s">
        <v>53</v>
      </c>
      <c r="E1141" s="7" t="s">
        <v>87</v>
      </c>
      <c r="F1141" s="7" t="s">
        <v>59</v>
      </c>
      <c r="G1141" s="7" t="s">
        <v>49</v>
      </c>
      <c r="H1141" s="7" t="s">
        <v>151</v>
      </c>
      <c r="I1141" s="7">
        <v>8</v>
      </c>
      <c r="J1141" s="9">
        <v>878.23</v>
      </c>
      <c r="K1141" s="10">
        <v>9.5500000000000002E-2</v>
      </c>
      <c r="L1141" s="9">
        <f t="shared" si="34"/>
        <v>6354.8722799999996</v>
      </c>
      <c r="M1141" s="9">
        <f>ROUND(L1141*0.7151,2)</f>
        <v>4544.37</v>
      </c>
      <c r="N1141" s="9">
        <f t="shared" si="35"/>
        <v>1810.5022799999997</v>
      </c>
    </row>
    <row r="1142" spans="1:14" x14ac:dyDescent="0.35">
      <c r="A1142" s="7" t="s">
        <v>1225</v>
      </c>
      <c r="B1142" s="8">
        <v>46010</v>
      </c>
      <c r="C1142" s="7" t="s">
        <v>52</v>
      </c>
      <c r="D1142" s="7" t="s">
        <v>69</v>
      </c>
      <c r="E1142" s="7" t="s">
        <v>113</v>
      </c>
      <c r="F1142" s="7" t="s">
        <v>48</v>
      </c>
      <c r="G1142" s="7" t="s">
        <v>55</v>
      </c>
      <c r="H1142" s="7" t="s">
        <v>56</v>
      </c>
      <c r="I1142" s="7">
        <v>1</v>
      </c>
      <c r="J1142" s="9">
        <v>257.2</v>
      </c>
      <c r="K1142" s="10">
        <v>5.8000000000000003E-2</v>
      </c>
      <c r="L1142" s="9">
        <f t="shared" si="34"/>
        <v>242.28239999999997</v>
      </c>
      <c r="M1142" s="9">
        <f>ROUND(L1142*0.2605,2)</f>
        <v>63.11</v>
      </c>
      <c r="N1142" s="9">
        <f t="shared" si="35"/>
        <v>179.17239999999998</v>
      </c>
    </row>
    <row r="1143" spans="1:14" x14ac:dyDescent="0.35">
      <c r="A1143" s="7" t="s">
        <v>1226</v>
      </c>
      <c r="B1143" s="8">
        <v>46010</v>
      </c>
      <c r="C1143" s="7" t="s">
        <v>52</v>
      </c>
      <c r="D1143" s="7" t="s">
        <v>53</v>
      </c>
      <c r="E1143" s="7" t="s">
        <v>81</v>
      </c>
      <c r="F1143" s="7" t="s">
        <v>59</v>
      </c>
      <c r="G1143" s="7" t="s">
        <v>49</v>
      </c>
      <c r="H1143" s="7" t="s">
        <v>64</v>
      </c>
      <c r="I1143" s="7">
        <v>7</v>
      </c>
      <c r="J1143" s="9">
        <v>1070.05</v>
      </c>
      <c r="K1143" s="10">
        <v>9.6199999999999994E-2</v>
      </c>
      <c r="L1143" s="9">
        <f t="shared" si="34"/>
        <v>6769.7783300000001</v>
      </c>
      <c r="M1143" s="9">
        <f>ROUND(L1143*0.7269,2)</f>
        <v>4920.95</v>
      </c>
      <c r="N1143" s="9">
        <f t="shared" si="35"/>
        <v>1848.8283300000003</v>
      </c>
    </row>
    <row r="1144" spans="1:14" x14ac:dyDescent="0.35">
      <c r="A1144" s="7" t="s">
        <v>1227</v>
      </c>
      <c r="B1144" s="8">
        <v>46011</v>
      </c>
      <c r="C1144" s="7" t="s">
        <v>39</v>
      </c>
      <c r="D1144" s="7" t="s">
        <v>69</v>
      </c>
      <c r="E1144" s="7" t="s">
        <v>107</v>
      </c>
      <c r="F1144" s="7" t="s">
        <v>48</v>
      </c>
      <c r="G1144" s="7" t="s">
        <v>49</v>
      </c>
      <c r="H1144" s="7" t="s">
        <v>60</v>
      </c>
      <c r="I1144" s="7">
        <v>2</v>
      </c>
      <c r="J1144" s="9">
        <v>59.23</v>
      </c>
      <c r="K1144" s="10">
        <v>5.5800000000000002E-2</v>
      </c>
      <c r="L1144" s="9">
        <f t="shared" si="34"/>
        <v>111.849932</v>
      </c>
      <c r="M1144" s="9">
        <f>ROUND(L1144*0.2492,2)</f>
        <v>27.87</v>
      </c>
      <c r="N1144" s="9">
        <f t="shared" si="35"/>
        <v>83.979931999999991</v>
      </c>
    </row>
    <row r="1145" spans="1:14" x14ac:dyDescent="0.35">
      <c r="A1145" s="7" t="s">
        <v>1228</v>
      </c>
      <c r="B1145" s="8">
        <v>46011</v>
      </c>
      <c r="C1145" s="7" t="s">
        <v>52</v>
      </c>
      <c r="D1145" s="7" t="s">
        <v>53</v>
      </c>
      <c r="E1145" s="7" t="s">
        <v>81</v>
      </c>
      <c r="F1145" s="7" t="s">
        <v>42</v>
      </c>
      <c r="G1145" s="7" t="s">
        <v>43</v>
      </c>
      <c r="H1145" s="7" t="s">
        <v>83</v>
      </c>
      <c r="I1145" s="7">
        <v>32</v>
      </c>
      <c r="J1145" s="9">
        <v>1109.24</v>
      </c>
      <c r="K1145" s="10">
        <v>0.14180000000000001</v>
      </c>
      <c r="L1145" s="9">
        <f t="shared" si="34"/>
        <v>30462.392575999998</v>
      </c>
      <c r="M1145" s="9">
        <f>ROUND(L1145*0.6876,2)</f>
        <v>20945.939999999999</v>
      </c>
      <c r="N1145" s="9">
        <f t="shared" si="35"/>
        <v>9516.4525759999997</v>
      </c>
    </row>
    <row r="1146" spans="1:14" x14ac:dyDescent="0.35">
      <c r="A1146" s="7" t="s">
        <v>1229</v>
      </c>
      <c r="B1146" s="8">
        <v>46011</v>
      </c>
      <c r="C1146" s="7" t="s">
        <v>52</v>
      </c>
      <c r="D1146" s="7" t="s">
        <v>53</v>
      </c>
      <c r="E1146" s="7" t="s">
        <v>81</v>
      </c>
      <c r="F1146" s="7" t="s">
        <v>59</v>
      </c>
      <c r="G1146" s="7" t="s">
        <v>43</v>
      </c>
      <c r="H1146" s="7" t="s">
        <v>71</v>
      </c>
      <c r="I1146" s="7">
        <v>3</v>
      </c>
      <c r="J1146" s="9">
        <v>1047.26</v>
      </c>
      <c r="K1146" s="10">
        <v>0.1348</v>
      </c>
      <c r="L1146" s="9">
        <f t="shared" si="34"/>
        <v>2718.2680559999999</v>
      </c>
      <c r="M1146" s="9">
        <f>ROUND(L1146*0.7025,2)</f>
        <v>1909.58</v>
      </c>
      <c r="N1146" s="9">
        <f t="shared" si="35"/>
        <v>808.68805599999996</v>
      </c>
    </row>
    <row r="1147" spans="1:14" x14ac:dyDescent="0.35">
      <c r="A1147" s="7" t="s">
        <v>1230</v>
      </c>
      <c r="B1147" s="8">
        <v>46011</v>
      </c>
      <c r="C1147" s="7" t="s">
        <v>46</v>
      </c>
      <c r="D1147" s="7" t="s">
        <v>53</v>
      </c>
      <c r="E1147" s="7" t="s">
        <v>81</v>
      </c>
      <c r="F1147" s="7" t="s">
        <v>59</v>
      </c>
      <c r="G1147" s="7" t="s">
        <v>49</v>
      </c>
      <c r="H1147" s="7" t="s">
        <v>95</v>
      </c>
      <c r="I1147" s="7">
        <v>9</v>
      </c>
      <c r="J1147" s="9">
        <v>1080.53</v>
      </c>
      <c r="K1147" s="10">
        <v>0.1338</v>
      </c>
      <c r="L1147" s="9">
        <f t="shared" si="34"/>
        <v>8423.5957739999994</v>
      </c>
      <c r="M1147" s="9">
        <f>ROUND(L1147*0.7258,2)</f>
        <v>6113.85</v>
      </c>
      <c r="N1147" s="9">
        <f t="shared" si="35"/>
        <v>2309.7457739999991</v>
      </c>
    </row>
    <row r="1148" spans="1:14" x14ac:dyDescent="0.35">
      <c r="A1148" s="7" t="s">
        <v>1231</v>
      </c>
      <c r="B1148" s="8">
        <v>46011</v>
      </c>
      <c r="C1148" s="7" t="s">
        <v>39</v>
      </c>
      <c r="D1148" s="7" t="s">
        <v>40</v>
      </c>
      <c r="E1148" s="7" t="s">
        <v>91</v>
      </c>
      <c r="F1148" s="7" t="s">
        <v>48</v>
      </c>
      <c r="G1148" s="7" t="s">
        <v>55</v>
      </c>
      <c r="H1148" s="7" t="s">
        <v>108</v>
      </c>
      <c r="I1148" s="7">
        <v>2</v>
      </c>
      <c r="J1148" s="9">
        <v>133.11000000000001</v>
      </c>
      <c r="K1148" s="10">
        <v>7.4999999999999997E-2</v>
      </c>
      <c r="L1148" s="9">
        <f t="shared" si="34"/>
        <v>246.25350000000003</v>
      </c>
      <c r="M1148" s="9">
        <f>ROUND(L1148*0.637,2)</f>
        <v>156.86000000000001</v>
      </c>
      <c r="N1148" s="9">
        <f t="shared" si="35"/>
        <v>89.393500000000017</v>
      </c>
    </row>
    <row r="1149" spans="1:14" x14ac:dyDescent="0.35">
      <c r="A1149" s="7" t="s">
        <v>1232</v>
      </c>
      <c r="B1149" s="8">
        <v>46011</v>
      </c>
      <c r="C1149" s="7" t="s">
        <v>46</v>
      </c>
      <c r="D1149" s="7" t="s">
        <v>40</v>
      </c>
      <c r="E1149" s="7" t="s">
        <v>91</v>
      </c>
      <c r="F1149" s="7" t="s">
        <v>48</v>
      </c>
      <c r="G1149" s="7" t="s">
        <v>49</v>
      </c>
      <c r="H1149" s="7" t="s">
        <v>50</v>
      </c>
      <c r="I1149" s="7">
        <v>2</v>
      </c>
      <c r="J1149" s="9">
        <v>120.28</v>
      </c>
      <c r="K1149" s="10">
        <v>5.9400000000000001E-2</v>
      </c>
      <c r="L1149" s="9">
        <f t="shared" si="34"/>
        <v>226.270736</v>
      </c>
      <c r="M1149" s="9">
        <f>ROUND(L1149*0.627,2)</f>
        <v>141.87</v>
      </c>
      <c r="N1149" s="9">
        <f t="shared" si="35"/>
        <v>84.400735999999995</v>
      </c>
    </row>
    <row r="1150" spans="1:14" x14ac:dyDescent="0.35">
      <c r="A1150" s="7" t="s">
        <v>1233</v>
      </c>
      <c r="B1150" s="8">
        <v>46012</v>
      </c>
      <c r="C1150" s="7" t="s">
        <v>39</v>
      </c>
      <c r="D1150" s="7" t="s">
        <v>40</v>
      </c>
      <c r="E1150" s="7" t="s">
        <v>41</v>
      </c>
      <c r="F1150" s="7" t="s">
        <v>48</v>
      </c>
      <c r="G1150" s="7" t="s">
        <v>55</v>
      </c>
      <c r="H1150" s="7" t="s">
        <v>108</v>
      </c>
      <c r="I1150" s="7">
        <v>3</v>
      </c>
      <c r="J1150" s="9">
        <v>396.58</v>
      </c>
      <c r="K1150" s="10">
        <v>4.7300000000000002E-2</v>
      </c>
      <c r="L1150" s="9">
        <f t="shared" si="34"/>
        <v>1133.4652980000001</v>
      </c>
      <c r="M1150" s="9">
        <f>ROUND(L1150*0.6163,2)</f>
        <v>698.55</v>
      </c>
      <c r="N1150" s="9">
        <f t="shared" si="35"/>
        <v>434.91529800000012</v>
      </c>
    </row>
    <row r="1151" spans="1:14" x14ac:dyDescent="0.35">
      <c r="A1151" s="7" t="s">
        <v>1234</v>
      </c>
      <c r="B1151" s="8">
        <v>46012</v>
      </c>
      <c r="C1151" s="7" t="s">
        <v>52</v>
      </c>
      <c r="D1151" s="7" t="s">
        <v>40</v>
      </c>
      <c r="E1151" s="7" t="s">
        <v>47</v>
      </c>
      <c r="F1151" s="7" t="s">
        <v>48</v>
      </c>
      <c r="G1151" s="7" t="s">
        <v>55</v>
      </c>
      <c r="H1151" s="7" t="s">
        <v>56</v>
      </c>
      <c r="I1151" s="7">
        <v>2</v>
      </c>
      <c r="J1151" s="9">
        <v>257.37</v>
      </c>
      <c r="K1151" s="10">
        <v>5.8999999999999997E-2</v>
      </c>
      <c r="L1151" s="9">
        <f t="shared" si="34"/>
        <v>484.37034000000006</v>
      </c>
      <c r="M1151" s="9">
        <f>ROUND(L1151*0.6204,2)</f>
        <v>300.5</v>
      </c>
      <c r="N1151" s="9">
        <f t="shared" si="35"/>
        <v>183.87034000000006</v>
      </c>
    </row>
    <row r="1152" spans="1:14" x14ac:dyDescent="0.35">
      <c r="A1152" s="7" t="s">
        <v>1235</v>
      </c>
      <c r="B1152" s="8">
        <v>46012</v>
      </c>
      <c r="C1152" s="7" t="s">
        <v>46</v>
      </c>
      <c r="D1152" s="7" t="s">
        <v>53</v>
      </c>
      <c r="E1152" s="7" t="s">
        <v>105</v>
      </c>
      <c r="F1152" s="7" t="s">
        <v>48</v>
      </c>
      <c r="G1152" s="7" t="s">
        <v>49</v>
      </c>
      <c r="H1152" s="7" t="s">
        <v>95</v>
      </c>
      <c r="I1152" s="7">
        <v>2</v>
      </c>
      <c r="J1152" s="9">
        <v>425.97</v>
      </c>
      <c r="K1152" s="10">
        <v>7.1099999999999997E-2</v>
      </c>
      <c r="L1152" s="9">
        <f t="shared" si="34"/>
        <v>791.36706600000014</v>
      </c>
      <c r="M1152" s="9">
        <f>ROUND(L1152*0.706,2)</f>
        <v>558.71</v>
      </c>
      <c r="N1152" s="9">
        <f t="shared" si="35"/>
        <v>232.6570660000001</v>
      </c>
    </row>
    <row r="1153" spans="1:14" x14ac:dyDescent="0.35">
      <c r="A1153" s="7" t="s">
        <v>1236</v>
      </c>
      <c r="B1153" s="8">
        <v>46012</v>
      </c>
      <c r="C1153" s="7" t="s">
        <v>52</v>
      </c>
      <c r="D1153" s="7" t="s">
        <v>40</v>
      </c>
      <c r="E1153" s="7" t="s">
        <v>62</v>
      </c>
      <c r="F1153" s="7" t="s">
        <v>48</v>
      </c>
      <c r="G1153" s="7" t="s">
        <v>55</v>
      </c>
      <c r="H1153" s="7" t="s">
        <v>56</v>
      </c>
      <c r="I1153" s="7">
        <v>1</v>
      </c>
      <c r="J1153" s="9">
        <v>191.38</v>
      </c>
      <c r="K1153" s="10">
        <v>6.3E-3</v>
      </c>
      <c r="L1153" s="9">
        <f t="shared" si="34"/>
        <v>190.174306</v>
      </c>
      <c r="M1153" s="9">
        <f>ROUND(L1153*0.6564,2)</f>
        <v>124.83</v>
      </c>
      <c r="N1153" s="9">
        <f t="shared" si="35"/>
        <v>65.344306000000003</v>
      </c>
    </row>
    <row r="1154" spans="1:14" x14ac:dyDescent="0.35">
      <c r="A1154" s="7" t="s">
        <v>1237</v>
      </c>
      <c r="B1154" s="8">
        <v>46013</v>
      </c>
      <c r="C1154" s="7" t="s">
        <v>39</v>
      </c>
      <c r="D1154" s="7" t="s">
        <v>53</v>
      </c>
      <c r="E1154" s="7" t="s">
        <v>105</v>
      </c>
      <c r="F1154" s="7" t="s">
        <v>48</v>
      </c>
      <c r="G1154" s="7" t="s">
        <v>55</v>
      </c>
      <c r="H1154" s="7" t="s">
        <v>108</v>
      </c>
      <c r="I1154" s="7">
        <v>1</v>
      </c>
      <c r="J1154" s="9">
        <v>463.19</v>
      </c>
      <c r="K1154" s="10">
        <v>5.5599999999999997E-2</v>
      </c>
      <c r="L1154" s="9">
        <f t="shared" ref="L1154:L1217" si="36">I1154*J1154*(1-K1154)</f>
        <v>437.43663600000002</v>
      </c>
      <c r="M1154" s="9">
        <f>ROUND(L1154*0.6943,2)</f>
        <v>303.70999999999998</v>
      </c>
      <c r="N1154" s="9">
        <f t="shared" ref="N1154:N1217" si="37">L1154-M1154</f>
        <v>133.72663600000004</v>
      </c>
    </row>
    <row r="1155" spans="1:14" x14ac:dyDescent="0.35">
      <c r="A1155" s="7" t="s">
        <v>1238</v>
      </c>
      <c r="B1155" s="8">
        <v>46013</v>
      </c>
      <c r="C1155" s="7" t="s">
        <v>76</v>
      </c>
      <c r="D1155" s="7" t="s">
        <v>53</v>
      </c>
      <c r="E1155" s="7" t="s">
        <v>58</v>
      </c>
      <c r="F1155" s="7" t="s">
        <v>48</v>
      </c>
      <c r="G1155" s="7" t="s">
        <v>55</v>
      </c>
      <c r="H1155" s="7" t="s">
        <v>78</v>
      </c>
      <c r="I1155" s="7">
        <v>2</v>
      </c>
      <c r="J1155" s="9">
        <v>697.91</v>
      </c>
      <c r="K1155" s="10">
        <v>1.5900000000000001E-2</v>
      </c>
      <c r="L1155" s="9">
        <f t="shared" si="36"/>
        <v>1373.6264619999999</v>
      </c>
      <c r="M1155" s="9">
        <f>ROUND(L1155*0.686,2)</f>
        <v>942.31</v>
      </c>
      <c r="N1155" s="9">
        <f t="shared" si="37"/>
        <v>431.316462</v>
      </c>
    </row>
    <row r="1156" spans="1:14" x14ac:dyDescent="0.35">
      <c r="A1156" s="7" t="s">
        <v>1239</v>
      </c>
      <c r="B1156" s="8">
        <v>46013</v>
      </c>
      <c r="C1156" s="7" t="s">
        <v>46</v>
      </c>
      <c r="D1156" s="7" t="s">
        <v>66</v>
      </c>
      <c r="E1156" s="7" t="s">
        <v>73</v>
      </c>
      <c r="F1156" s="7" t="s">
        <v>48</v>
      </c>
      <c r="G1156" s="7" t="s">
        <v>55</v>
      </c>
      <c r="H1156" s="7" t="s">
        <v>74</v>
      </c>
      <c r="I1156" s="7">
        <v>1</v>
      </c>
      <c r="J1156" s="9">
        <v>38.979999999999997</v>
      </c>
      <c r="K1156" s="10">
        <v>4.5400000000000003E-2</v>
      </c>
      <c r="L1156" s="9">
        <f t="shared" si="36"/>
        <v>37.210307999999998</v>
      </c>
      <c r="M1156" s="9">
        <f>ROUND(L1156*0.5714,2)</f>
        <v>21.26</v>
      </c>
      <c r="N1156" s="9">
        <f t="shared" si="37"/>
        <v>15.950307999999996</v>
      </c>
    </row>
    <row r="1157" spans="1:14" x14ac:dyDescent="0.35">
      <c r="A1157" s="7" t="s">
        <v>1240</v>
      </c>
      <c r="B1157" s="8">
        <v>46013</v>
      </c>
      <c r="C1157" s="7" t="s">
        <v>39</v>
      </c>
      <c r="D1157" s="7" t="s">
        <v>69</v>
      </c>
      <c r="E1157" s="7" t="s">
        <v>119</v>
      </c>
      <c r="F1157" s="7" t="s">
        <v>48</v>
      </c>
      <c r="G1157" s="7" t="s">
        <v>55</v>
      </c>
      <c r="H1157" s="7" t="s">
        <v>108</v>
      </c>
      <c r="I1157" s="7">
        <v>1</v>
      </c>
      <c r="J1157" s="9">
        <v>201.14</v>
      </c>
      <c r="K1157" s="10">
        <v>4.9500000000000002E-2</v>
      </c>
      <c r="L1157" s="9">
        <f t="shared" si="36"/>
        <v>191.18357</v>
      </c>
      <c r="M1157" s="9">
        <f>ROUND(L1157*0.2447,2)</f>
        <v>46.78</v>
      </c>
      <c r="N1157" s="9">
        <f t="shared" si="37"/>
        <v>144.40357</v>
      </c>
    </row>
    <row r="1158" spans="1:14" x14ac:dyDescent="0.35">
      <c r="A1158" s="7" t="s">
        <v>1241</v>
      </c>
      <c r="B1158" s="8">
        <v>46014</v>
      </c>
      <c r="C1158" s="7" t="s">
        <v>46</v>
      </c>
      <c r="D1158" s="7" t="s">
        <v>66</v>
      </c>
      <c r="E1158" s="7" t="s">
        <v>73</v>
      </c>
      <c r="F1158" s="7" t="s">
        <v>59</v>
      </c>
      <c r="G1158" s="7" t="s">
        <v>43</v>
      </c>
      <c r="H1158" s="7" t="s">
        <v>50</v>
      </c>
      <c r="I1158" s="7">
        <v>7</v>
      </c>
      <c r="J1158" s="9">
        <v>38.119999999999997</v>
      </c>
      <c r="K1158" s="10">
        <v>8.0600000000000005E-2</v>
      </c>
      <c r="L1158" s="9">
        <f t="shared" si="36"/>
        <v>245.33269599999997</v>
      </c>
      <c r="M1158" s="9">
        <f>ROUND(L1158*0.5762,2)</f>
        <v>141.36000000000001</v>
      </c>
      <c r="N1158" s="9">
        <f t="shared" si="37"/>
        <v>103.97269599999996</v>
      </c>
    </row>
    <row r="1159" spans="1:14" x14ac:dyDescent="0.35">
      <c r="A1159" s="7" t="s">
        <v>1242</v>
      </c>
      <c r="B1159" s="8">
        <v>46014</v>
      </c>
      <c r="C1159" s="7" t="s">
        <v>46</v>
      </c>
      <c r="D1159" s="7" t="s">
        <v>53</v>
      </c>
      <c r="E1159" s="7" t="s">
        <v>105</v>
      </c>
      <c r="F1159" s="7" t="s">
        <v>42</v>
      </c>
      <c r="G1159" s="7" t="s">
        <v>49</v>
      </c>
      <c r="H1159" s="7" t="s">
        <v>95</v>
      </c>
      <c r="I1159" s="7">
        <v>35</v>
      </c>
      <c r="J1159" s="9">
        <v>436.34</v>
      </c>
      <c r="K1159" s="10">
        <v>8.6099999999999996E-2</v>
      </c>
      <c r="L1159" s="9">
        <f t="shared" si="36"/>
        <v>13956.98941</v>
      </c>
      <c r="M1159" s="9">
        <f>ROUND(L1159*0.6868,2)</f>
        <v>9585.66</v>
      </c>
      <c r="N1159" s="9">
        <f t="shared" si="37"/>
        <v>4371.3294100000003</v>
      </c>
    </row>
    <row r="1160" spans="1:14" x14ac:dyDescent="0.35">
      <c r="A1160" s="7" t="s">
        <v>1243</v>
      </c>
      <c r="B1160" s="8">
        <v>46015</v>
      </c>
      <c r="C1160" s="7" t="s">
        <v>76</v>
      </c>
      <c r="D1160" s="7" t="s">
        <v>66</v>
      </c>
      <c r="E1160" s="7" t="s">
        <v>98</v>
      </c>
      <c r="F1160" s="7" t="s">
        <v>48</v>
      </c>
      <c r="G1160" s="7" t="s">
        <v>49</v>
      </c>
      <c r="H1160" s="7" t="s">
        <v>110</v>
      </c>
      <c r="I1160" s="7">
        <v>3</v>
      </c>
      <c r="J1160" s="9">
        <v>27.1</v>
      </c>
      <c r="K1160" s="10">
        <v>4.6300000000000001E-2</v>
      </c>
      <c r="L1160" s="9">
        <f t="shared" si="36"/>
        <v>77.535810000000012</v>
      </c>
      <c r="M1160" s="9">
        <f>ROUND(L1160*0.5805,2)</f>
        <v>45.01</v>
      </c>
      <c r="N1160" s="9">
        <f t="shared" si="37"/>
        <v>32.525810000000014</v>
      </c>
    </row>
    <row r="1161" spans="1:14" x14ac:dyDescent="0.35">
      <c r="A1161" s="7" t="s">
        <v>1244</v>
      </c>
      <c r="B1161" s="8">
        <v>46015</v>
      </c>
      <c r="C1161" s="7" t="s">
        <v>39</v>
      </c>
      <c r="D1161" s="7" t="s">
        <v>69</v>
      </c>
      <c r="E1161" s="7" t="s">
        <v>132</v>
      </c>
      <c r="F1161" s="7" t="s">
        <v>48</v>
      </c>
      <c r="G1161" s="7" t="s">
        <v>55</v>
      </c>
      <c r="H1161" s="7" t="s">
        <v>108</v>
      </c>
      <c r="I1161" s="7">
        <v>1</v>
      </c>
      <c r="J1161" s="9">
        <v>78.83</v>
      </c>
      <c r="K1161" s="10">
        <v>4.4699999999999997E-2</v>
      </c>
      <c r="L1161" s="9">
        <f t="shared" si="36"/>
        <v>75.306298999999996</v>
      </c>
      <c r="M1161" s="9">
        <f>ROUND(L1161*0.2587,2)</f>
        <v>19.48</v>
      </c>
      <c r="N1161" s="9">
        <f t="shared" si="37"/>
        <v>55.826298999999992</v>
      </c>
    </row>
    <row r="1162" spans="1:14" x14ac:dyDescent="0.35">
      <c r="A1162" s="7" t="s">
        <v>1245</v>
      </c>
      <c r="B1162" s="8">
        <v>46015</v>
      </c>
      <c r="C1162" s="7" t="s">
        <v>39</v>
      </c>
      <c r="D1162" s="7" t="s">
        <v>53</v>
      </c>
      <c r="E1162" s="7" t="s">
        <v>81</v>
      </c>
      <c r="F1162" s="7" t="s">
        <v>42</v>
      </c>
      <c r="G1162" s="7" t="s">
        <v>43</v>
      </c>
      <c r="H1162" s="7" t="s">
        <v>44</v>
      </c>
      <c r="I1162" s="7">
        <v>17</v>
      </c>
      <c r="J1162" s="9">
        <v>1076.97</v>
      </c>
      <c r="K1162" s="10">
        <v>0.1605</v>
      </c>
      <c r="L1162" s="9">
        <f t="shared" si="36"/>
        <v>15369.977355000001</v>
      </c>
      <c r="M1162" s="9">
        <f>ROUND(L1162*0.7275,2)</f>
        <v>11181.66</v>
      </c>
      <c r="N1162" s="9">
        <f t="shared" si="37"/>
        <v>4188.317355000001</v>
      </c>
    </row>
    <row r="1163" spans="1:14" x14ac:dyDescent="0.35">
      <c r="A1163" s="7" t="s">
        <v>1246</v>
      </c>
      <c r="B1163" s="8">
        <v>46015</v>
      </c>
      <c r="C1163" s="7" t="s">
        <v>46</v>
      </c>
      <c r="D1163" s="7" t="s">
        <v>40</v>
      </c>
      <c r="E1163" s="7" t="s">
        <v>62</v>
      </c>
      <c r="F1163" s="7" t="s">
        <v>42</v>
      </c>
      <c r="G1163" s="7" t="s">
        <v>43</v>
      </c>
      <c r="H1163" s="7" t="s">
        <v>50</v>
      </c>
      <c r="I1163" s="7">
        <v>24</v>
      </c>
      <c r="J1163" s="9">
        <v>189.01</v>
      </c>
      <c r="K1163" s="10">
        <v>0.17610000000000001</v>
      </c>
      <c r="L1163" s="9">
        <f t="shared" si="36"/>
        <v>3737.4081359999996</v>
      </c>
      <c r="M1163" s="9">
        <f>ROUND(L1163*0.6144,2)</f>
        <v>2296.2600000000002</v>
      </c>
      <c r="N1163" s="9">
        <f t="shared" si="37"/>
        <v>1441.1481359999993</v>
      </c>
    </row>
    <row r="1164" spans="1:14" x14ac:dyDescent="0.35">
      <c r="A1164" s="7" t="s">
        <v>1247</v>
      </c>
      <c r="B1164" s="8">
        <v>46015</v>
      </c>
      <c r="C1164" s="7" t="s">
        <v>39</v>
      </c>
      <c r="D1164" s="7" t="s">
        <v>53</v>
      </c>
      <c r="E1164" s="7" t="s">
        <v>58</v>
      </c>
      <c r="F1164" s="7" t="s">
        <v>59</v>
      </c>
      <c r="G1164" s="7" t="s">
        <v>43</v>
      </c>
      <c r="H1164" s="7" t="s">
        <v>60</v>
      </c>
      <c r="I1164" s="7">
        <v>7</v>
      </c>
      <c r="J1164" s="9">
        <v>686.64</v>
      </c>
      <c r="K1164" s="10">
        <v>0.13800000000000001</v>
      </c>
      <c r="L1164" s="9">
        <f t="shared" si="36"/>
        <v>4143.1857599999994</v>
      </c>
      <c r="M1164" s="9">
        <f>ROUND(L1164*0.706,2)</f>
        <v>2925.09</v>
      </c>
      <c r="N1164" s="9">
        <f t="shared" si="37"/>
        <v>1218.0957599999992</v>
      </c>
    </row>
    <row r="1165" spans="1:14" x14ac:dyDescent="0.35">
      <c r="A1165" s="7" t="s">
        <v>1248</v>
      </c>
      <c r="B1165" s="8">
        <v>46016</v>
      </c>
      <c r="C1165" s="7" t="s">
        <v>39</v>
      </c>
      <c r="D1165" s="7" t="s">
        <v>53</v>
      </c>
      <c r="E1165" s="7" t="s">
        <v>81</v>
      </c>
      <c r="F1165" s="7" t="s">
        <v>48</v>
      </c>
      <c r="G1165" s="7" t="s">
        <v>49</v>
      </c>
      <c r="H1165" s="7" t="s">
        <v>44</v>
      </c>
      <c r="I1165" s="7">
        <v>2</v>
      </c>
      <c r="J1165" s="9">
        <v>1059.53</v>
      </c>
      <c r="K1165" s="10">
        <v>7.5800000000000006E-2</v>
      </c>
      <c r="L1165" s="9">
        <f t="shared" si="36"/>
        <v>1958.435252</v>
      </c>
      <c r="M1165" s="9">
        <f>ROUND(L1165*0.729,2)</f>
        <v>1427.7</v>
      </c>
      <c r="N1165" s="9">
        <f t="shared" si="37"/>
        <v>530.73525199999995</v>
      </c>
    </row>
    <row r="1166" spans="1:14" x14ac:dyDescent="0.35">
      <c r="A1166" s="7" t="s">
        <v>1249</v>
      </c>
      <c r="B1166" s="8">
        <v>46016</v>
      </c>
      <c r="C1166" s="7" t="s">
        <v>46</v>
      </c>
      <c r="D1166" s="7" t="s">
        <v>69</v>
      </c>
      <c r="E1166" s="7" t="s">
        <v>132</v>
      </c>
      <c r="F1166" s="7" t="s">
        <v>48</v>
      </c>
      <c r="G1166" s="7" t="s">
        <v>49</v>
      </c>
      <c r="H1166" s="7" t="s">
        <v>50</v>
      </c>
      <c r="I1166" s="7">
        <v>2</v>
      </c>
      <c r="J1166" s="9">
        <v>77.17</v>
      </c>
      <c r="K1166" s="10">
        <v>5.1200000000000002E-2</v>
      </c>
      <c r="L1166" s="9">
        <f t="shared" si="36"/>
        <v>146.437792</v>
      </c>
      <c r="M1166" s="9">
        <f>ROUND(L1166*0.2679,2)</f>
        <v>39.229999999999997</v>
      </c>
      <c r="N1166" s="9">
        <f t="shared" si="37"/>
        <v>107.20779200000001</v>
      </c>
    </row>
    <row r="1167" spans="1:14" x14ac:dyDescent="0.35">
      <c r="A1167" s="7" t="s">
        <v>1250</v>
      </c>
      <c r="B1167" s="8">
        <v>46016</v>
      </c>
      <c r="C1167" s="7" t="s">
        <v>39</v>
      </c>
      <c r="D1167" s="7" t="s">
        <v>40</v>
      </c>
      <c r="E1167" s="7" t="s">
        <v>62</v>
      </c>
      <c r="F1167" s="7" t="s">
        <v>48</v>
      </c>
      <c r="G1167" s="7" t="s">
        <v>55</v>
      </c>
      <c r="H1167" s="7" t="s">
        <v>108</v>
      </c>
      <c r="I1167" s="7">
        <v>2</v>
      </c>
      <c r="J1167" s="9">
        <v>192.75</v>
      </c>
      <c r="K1167" s="10">
        <v>4.4699999999999997E-2</v>
      </c>
      <c r="L1167" s="9">
        <f t="shared" si="36"/>
        <v>368.26814999999999</v>
      </c>
      <c r="M1167" s="9">
        <f>ROUND(L1167*0.618,2)</f>
        <v>227.59</v>
      </c>
      <c r="N1167" s="9">
        <f t="shared" si="37"/>
        <v>140.67814999999999</v>
      </c>
    </row>
    <row r="1168" spans="1:14" x14ac:dyDescent="0.35">
      <c r="A1168" s="7" t="s">
        <v>1251</v>
      </c>
      <c r="B1168" s="8">
        <v>46017</v>
      </c>
      <c r="C1168" s="7" t="s">
        <v>39</v>
      </c>
      <c r="D1168" s="7" t="s">
        <v>53</v>
      </c>
      <c r="E1168" s="7" t="s">
        <v>58</v>
      </c>
      <c r="F1168" s="7" t="s">
        <v>48</v>
      </c>
      <c r="G1168" s="7" t="s">
        <v>49</v>
      </c>
      <c r="H1168" s="7" t="s">
        <v>44</v>
      </c>
      <c r="I1168" s="7">
        <v>2</v>
      </c>
      <c r="J1168" s="9">
        <v>691.68</v>
      </c>
      <c r="K1168" s="10">
        <v>6.1100000000000002E-2</v>
      </c>
      <c r="L1168" s="9">
        <f t="shared" si="36"/>
        <v>1298.8367039999998</v>
      </c>
      <c r="M1168" s="9">
        <f>ROUND(L1168*0.71,2)</f>
        <v>922.17</v>
      </c>
      <c r="N1168" s="9">
        <f t="shared" si="37"/>
        <v>376.66670399999987</v>
      </c>
    </row>
    <row r="1169" spans="1:14" x14ac:dyDescent="0.35">
      <c r="A1169" s="7" t="s">
        <v>1252</v>
      </c>
      <c r="B1169" s="8">
        <v>46017</v>
      </c>
      <c r="C1169" s="7" t="s">
        <v>46</v>
      </c>
      <c r="D1169" s="7" t="s">
        <v>66</v>
      </c>
      <c r="E1169" s="7" t="s">
        <v>73</v>
      </c>
      <c r="F1169" s="7" t="s">
        <v>48</v>
      </c>
      <c r="G1169" s="7" t="s">
        <v>55</v>
      </c>
      <c r="H1169" s="7" t="s">
        <v>74</v>
      </c>
      <c r="I1169" s="7">
        <v>3</v>
      </c>
      <c r="J1169" s="9">
        <v>37.5</v>
      </c>
      <c r="K1169" s="10">
        <v>9.9000000000000008E-3</v>
      </c>
      <c r="L1169" s="9">
        <f t="shared" si="36"/>
        <v>111.38625</v>
      </c>
      <c r="M1169" s="9">
        <f>ROUND(L1169*0.5732,2)</f>
        <v>63.85</v>
      </c>
      <c r="N1169" s="9">
        <f t="shared" si="37"/>
        <v>47.536250000000003</v>
      </c>
    </row>
    <row r="1170" spans="1:14" x14ac:dyDescent="0.35">
      <c r="A1170" s="7" t="s">
        <v>1253</v>
      </c>
      <c r="B1170" s="8">
        <v>46017</v>
      </c>
      <c r="C1170" s="7" t="s">
        <v>46</v>
      </c>
      <c r="D1170" s="7" t="s">
        <v>53</v>
      </c>
      <c r="E1170" s="7" t="s">
        <v>58</v>
      </c>
      <c r="F1170" s="7" t="s">
        <v>48</v>
      </c>
      <c r="G1170" s="7" t="s">
        <v>49</v>
      </c>
      <c r="H1170" s="7" t="s">
        <v>50</v>
      </c>
      <c r="I1170" s="7">
        <v>2</v>
      </c>
      <c r="J1170" s="9">
        <v>660.19</v>
      </c>
      <c r="K1170" s="10">
        <v>3.32E-2</v>
      </c>
      <c r="L1170" s="9">
        <f t="shared" si="36"/>
        <v>1276.5433840000001</v>
      </c>
      <c r="M1170" s="9">
        <f>ROUND(L1170*0.703,2)</f>
        <v>897.41</v>
      </c>
      <c r="N1170" s="9">
        <f t="shared" si="37"/>
        <v>379.13338400000009</v>
      </c>
    </row>
    <row r="1171" spans="1:14" x14ac:dyDescent="0.35">
      <c r="A1171" s="7" t="s">
        <v>1254</v>
      </c>
      <c r="B1171" s="8">
        <v>46017</v>
      </c>
      <c r="C1171" s="7" t="s">
        <v>76</v>
      </c>
      <c r="D1171" s="7" t="s">
        <v>53</v>
      </c>
      <c r="E1171" s="7" t="s">
        <v>105</v>
      </c>
      <c r="F1171" s="7" t="s">
        <v>48</v>
      </c>
      <c r="G1171" s="7" t="s">
        <v>55</v>
      </c>
      <c r="H1171" s="7" t="s">
        <v>78</v>
      </c>
      <c r="I1171" s="7">
        <v>3</v>
      </c>
      <c r="J1171" s="9">
        <v>463.97</v>
      </c>
      <c r="K1171" s="10">
        <v>1.3100000000000001E-2</v>
      </c>
      <c r="L1171" s="9">
        <f t="shared" si="36"/>
        <v>1373.6759790000001</v>
      </c>
      <c r="M1171" s="9">
        <f>ROUND(L1171*0.6895,2)</f>
        <v>947.15</v>
      </c>
      <c r="N1171" s="9">
        <f t="shared" si="37"/>
        <v>426.52597900000012</v>
      </c>
    </row>
    <row r="1172" spans="1:14" x14ac:dyDescent="0.35">
      <c r="A1172" s="7" t="s">
        <v>1255</v>
      </c>
      <c r="B1172" s="8">
        <v>46017</v>
      </c>
      <c r="C1172" s="7" t="s">
        <v>52</v>
      </c>
      <c r="D1172" s="7" t="s">
        <v>69</v>
      </c>
      <c r="E1172" s="7" t="s">
        <v>132</v>
      </c>
      <c r="F1172" s="7" t="s">
        <v>48</v>
      </c>
      <c r="G1172" s="7" t="s">
        <v>55</v>
      </c>
      <c r="H1172" s="7" t="s">
        <v>56</v>
      </c>
      <c r="I1172" s="7">
        <v>1</v>
      </c>
      <c r="J1172" s="9">
        <v>80.180000000000007</v>
      </c>
      <c r="K1172" s="10">
        <v>3.73E-2</v>
      </c>
      <c r="L1172" s="9">
        <f t="shared" si="36"/>
        <v>77.18928600000001</v>
      </c>
      <c r="M1172" s="9">
        <f>ROUND(L1172*0.2288,2)</f>
        <v>17.66</v>
      </c>
      <c r="N1172" s="9">
        <f t="shared" si="37"/>
        <v>59.529286000000013</v>
      </c>
    </row>
    <row r="1173" spans="1:14" x14ac:dyDescent="0.35">
      <c r="A1173" s="7" t="s">
        <v>1256</v>
      </c>
      <c r="B1173" s="8">
        <v>46017</v>
      </c>
      <c r="C1173" s="7" t="s">
        <v>52</v>
      </c>
      <c r="D1173" s="7" t="s">
        <v>69</v>
      </c>
      <c r="E1173" s="7" t="s">
        <v>132</v>
      </c>
      <c r="F1173" s="7" t="s">
        <v>59</v>
      </c>
      <c r="G1173" s="7" t="s">
        <v>43</v>
      </c>
      <c r="H1173" s="7" t="s">
        <v>83</v>
      </c>
      <c r="I1173" s="7">
        <v>5</v>
      </c>
      <c r="J1173" s="9">
        <v>77.209999999999994</v>
      </c>
      <c r="K1173" s="10">
        <v>0.12720000000000001</v>
      </c>
      <c r="L1173" s="9">
        <f t="shared" si="36"/>
        <v>336.94443999999999</v>
      </c>
      <c r="M1173" s="9">
        <f>ROUND(L1173*0.268,2)</f>
        <v>90.3</v>
      </c>
      <c r="N1173" s="9">
        <f t="shared" si="37"/>
        <v>246.64443999999997</v>
      </c>
    </row>
    <row r="1174" spans="1:14" x14ac:dyDescent="0.35">
      <c r="A1174" s="7" t="s">
        <v>1257</v>
      </c>
      <c r="B1174" s="8">
        <v>46018</v>
      </c>
      <c r="C1174" s="7" t="s">
        <v>46</v>
      </c>
      <c r="D1174" s="7" t="s">
        <v>69</v>
      </c>
      <c r="E1174" s="7" t="s">
        <v>119</v>
      </c>
      <c r="F1174" s="7" t="s">
        <v>59</v>
      </c>
      <c r="G1174" s="7" t="s">
        <v>55</v>
      </c>
      <c r="H1174" s="7" t="s">
        <v>74</v>
      </c>
      <c r="I1174" s="7">
        <v>7</v>
      </c>
      <c r="J1174" s="9">
        <v>205.67</v>
      </c>
      <c r="K1174" s="10">
        <v>5.5300000000000002E-2</v>
      </c>
      <c r="L1174" s="9">
        <f t="shared" si="36"/>
        <v>1360.0751429999998</v>
      </c>
      <c r="M1174" s="9">
        <f>ROUND(L1174*0.2526,2)</f>
        <v>343.55</v>
      </c>
      <c r="N1174" s="9">
        <f t="shared" si="37"/>
        <v>1016.5251429999998</v>
      </c>
    </row>
    <row r="1175" spans="1:14" x14ac:dyDescent="0.35">
      <c r="A1175" s="7" t="s">
        <v>1258</v>
      </c>
      <c r="B1175" s="8">
        <v>46018</v>
      </c>
      <c r="C1175" s="7" t="s">
        <v>52</v>
      </c>
      <c r="D1175" s="7" t="s">
        <v>53</v>
      </c>
      <c r="E1175" s="7" t="s">
        <v>54</v>
      </c>
      <c r="F1175" s="7" t="s">
        <v>48</v>
      </c>
      <c r="G1175" s="7" t="s">
        <v>55</v>
      </c>
      <c r="H1175" s="7" t="s">
        <v>56</v>
      </c>
      <c r="I1175" s="7">
        <v>1</v>
      </c>
      <c r="J1175" s="9">
        <v>1257.07</v>
      </c>
      <c r="K1175" s="10">
        <v>1.9E-2</v>
      </c>
      <c r="L1175" s="9">
        <f t="shared" si="36"/>
        <v>1233.1856699999998</v>
      </c>
      <c r="M1175" s="9">
        <f>ROUND(L1175*0.7361,2)</f>
        <v>907.75</v>
      </c>
      <c r="N1175" s="9">
        <f t="shared" si="37"/>
        <v>325.43566999999985</v>
      </c>
    </row>
    <row r="1176" spans="1:14" x14ac:dyDescent="0.35">
      <c r="A1176" s="7" t="s">
        <v>1259</v>
      </c>
      <c r="B1176" s="8">
        <v>46018</v>
      </c>
      <c r="C1176" s="7" t="s">
        <v>46</v>
      </c>
      <c r="D1176" s="7" t="s">
        <v>66</v>
      </c>
      <c r="E1176" s="7" t="s">
        <v>73</v>
      </c>
      <c r="F1176" s="7" t="s">
        <v>48</v>
      </c>
      <c r="G1176" s="7" t="s">
        <v>55</v>
      </c>
      <c r="H1176" s="7" t="s">
        <v>74</v>
      </c>
      <c r="I1176" s="7">
        <v>3</v>
      </c>
      <c r="J1176" s="9">
        <v>38.799999999999997</v>
      </c>
      <c r="K1176" s="10">
        <v>7.7100000000000002E-2</v>
      </c>
      <c r="L1176" s="9">
        <f t="shared" si="36"/>
        <v>107.42556</v>
      </c>
      <c r="M1176" s="9">
        <f>ROUND(L1176*0.5615,2)</f>
        <v>60.32</v>
      </c>
      <c r="N1176" s="9">
        <f t="shared" si="37"/>
        <v>47.105560000000004</v>
      </c>
    </row>
    <row r="1177" spans="1:14" x14ac:dyDescent="0.35">
      <c r="A1177" s="7" t="s">
        <v>1260</v>
      </c>
      <c r="B1177" s="8">
        <v>46018</v>
      </c>
      <c r="C1177" s="7" t="s">
        <v>76</v>
      </c>
      <c r="D1177" s="7" t="s">
        <v>40</v>
      </c>
      <c r="E1177" s="7" t="s">
        <v>139</v>
      </c>
      <c r="F1177" s="7" t="s">
        <v>59</v>
      </c>
      <c r="G1177" s="7" t="s">
        <v>55</v>
      </c>
      <c r="H1177" s="7" t="s">
        <v>78</v>
      </c>
      <c r="I1177" s="7">
        <v>5</v>
      </c>
      <c r="J1177" s="9">
        <v>324.36</v>
      </c>
      <c r="K1177" s="10">
        <v>6.3E-2</v>
      </c>
      <c r="L1177" s="9">
        <f t="shared" si="36"/>
        <v>1519.6266000000003</v>
      </c>
      <c r="M1177" s="9">
        <f>ROUND(L1177*0.6663,2)</f>
        <v>1012.53</v>
      </c>
      <c r="N1177" s="9">
        <f t="shared" si="37"/>
        <v>507.09660000000031</v>
      </c>
    </row>
    <row r="1178" spans="1:14" x14ac:dyDescent="0.35">
      <c r="A1178" s="7" t="s">
        <v>1261</v>
      </c>
      <c r="B1178" s="8">
        <v>46018</v>
      </c>
      <c r="C1178" s="7" t="s">
        <v>46</v>
      </c>
      <c r="D1178" s="7" t="s">
        <v>66</v>
      </c>
      <c r="E1178" s="7" t="s">
        <v>77</v>
      </c>
      <c r="F1178" s="7" t="s">
        <v>48</v>
      </c>
      <c r="G1178" s="7" t="s">
        <v>55</v>
      </c>
      <c r="H1178" s="7" t="s">
        <v>74</v>
      </c>
      <c r="I1178" s="7">
        <v>3</v>
      </c>
      <c r="J1178" s="9">
        <v>99.02</v>
      </c>
      <c r="K1178" s="10">
        <v>5.8599999999999999E-2</v>
      </c>
      <c r="L1178" s="9">
        <f t="shared" si="36"/>
        <v>279.65228400000001</v>
      </c>
      <c r="M1178" s="9">
        <f>ROUND(L1178*0.5965,2)</f>
        <v>166.81</v>
      </c>
      <c r="N1178" s="9">
        <f t="shared" si="37"/>
        <v>112.84228400000001</v>
      </c>
    </row>
    <row r="1179" spans="1:14" x14ac:dyDescent="0.35">
      <c r="A1179" s="7" t="s">
        <v>1262</v>
      </c>
      <c r="B1179" s="8">
        <v>46019</v>
      </c>
      <c r="C1179" s="7" t="s">
        <v>39</v>
      </c>
      <c r="D1179" s="7" t="s">
        <v>69</v>
      </c>
      <c r="E1179" s="7" t="s">
        <v>70</v>
      </c>
      <c r="F1179" s="7" t="s">
        <v>48</v>
      </c>
      <c r="G1179" s="7" t="s">
        <v>49</v>
      </c>
      <c r="H1179" s="7" t="s">
        <v>44</v>
      </c>
      <c r="I1179" s="7">
        <v>2</v>
      </c>
      <c r="J1179" s="9">
        <v>141.79</v>
      </c>
      <c r="K1179" s="10">
        <v>2.63E-2</v>
      </c>
      <c r="L1179" s="9">
        <f t="shared" si="36"/>
        <v>276.12184600000001</v>
      </c>
      <c r="M1179" s="9">
        <f>ROUND(L1179*0.251,2)</f>
        <v>69.31</v>
      </c>
      <c r="N1179" s="9">
        <f t="shared" si="37"/>
        <v>206.811846</v>
      </c>
    </row>
    <row r="1180" spans="1:14" x14ac:dyDescent="0.35">
      <c r="A1180" s="7" t="s">
        <v>1263</v>
      </c>
      <c r="B1180" s="8">
        <v>46019</v>
      </c>
      <c r="C1180" s="7" t="s">
        <v>76</v>
      </c>
      <c r="D1180" s="7" t="s">
        <v>69</v>
      </c>
      <c r="E1180" s="7" t="s">
        <v>119</v>
      </c>
      <c r="F1180" s="7" t="s">
        <v>59</v>
      </c>
      <c r="G1180" s="7" t="s">
        <v>49</v>
      </c>
      <c r="H1180" s="7" t="s">
        <v>110</v>
      </c>
      <c r="I1180" s="7">
        <v>5</v>
      </c>
      <c r="J1180" s="9">
        <v>195.13</v>
      </c>
      <c r="K1180" s="10">
        <v>0.13170000000000001</v>
      </c>
      <c r="L1180" s="9">
        <f t="shared" si="36"/>
        <v>847.15689499999996</v>
      </c>
      <c r="M1180" s="9">
        <f>ROUND(L1180*0.2591,2)</f>
        <v>219.5</v>
      </c>
      <c r="N1180" s="9">
        <f t="shared" si="37"/>
        <v>627.65689499999996</v>
      </c>
    </row>
    <row r="1181" spans="1:14" x14ac:dyDescent="0.35">
      <c r="A1181" s="7" t="s">
        <v>1264</v>
      </c>
      <c r="B1181" s="8">
        <v>46019</v>
      </c>
      <c r="C1181" s="7" t="s">
        <v>46</v>
      </c>
      <c r="D1181" s="7" t="s">
        <v>53</v>
      </c>
      <c r="E1181" s="7" t="s">
        <v>58</v>
      </c>
      <c r="F1181" s="7" t="s">
        <v>48</v>
      </c>
      <c r="G1181" s="7" t="s">
        <v>55</v>
      </c>
      <c r="H1181" s="7" t="s">
        <v>74</v>
      </c>
      <c r="I1181" s="7">
        <v>1</v>
      </c>
      <c r="J1181" s="9">
        <v>681.98</v>
      </c>
      <c r="K1181" s="10">
        <v>5.1499999999999997E-2</v>
      </c>
      <c r="L1181" s="9">
        <f t="shared" si="36"/>
        <v>646.85802999999999</v>
      </c>
      <c r="M1181" s="9">
        <f>ROUND(L1181*0.6875,2)</f>
        <v>444.71</v>
      </c>
      <c r="N1181" s="9">
        <f t="shared" si="37"/>
        <v>202.14803000000001</v>
      </c>
    </row>
    <row r="1182" spans="1:14" x14ac:dyDescent="0.35">
      <c r="A1182" s="7" t="s">
        <v>1265</v>
      </c>
      <c r="B1182" s="8">
        <v>46020</v>
      </c>
      <c r="C1182" s="7" t="s">
        <v>52</v>
      </c>
      <c r="D1182" s="7" t="s">
        <v>66</v>
      </c>
      <c r="E1182" s="7" t="s">
        <v>77</v>
      </c>
      <c r="F1182" s="7" t="s">
        <v>42</v>
      </c>
      <c r="G1182" s="7" t="s">
        <v>43</v>
      </c>
      <c r="H1182" s="7" t="s">
        <v>64</v>
      </c>
      <c r="I1182" s="7">
        <v>30</v>
      </c>
      <c r="J1182" s="9">
        <v>100.03</v>
      </c>
      <c r="K1182" s="10">
        <v>0.1603</v>
      </c>
      <c r="L1182" s="9">
        <f t="shared" si="36"/>
        <v>2519.8557300000002</v>
      </c>
      <c r="M1182" s="9">
        <f>ROUND(L1182*0.575,2)</f>
        <v>1448.92</v>
      </c>
      <c r="N1182" s="9">
        <f t="shared" si="37"/>
        <v>1070.9357300000001</v>
      </c>
    </row>
    <row r="1183" spans="1:14" x14ac:dyDescent="0.35">
      <c r="A1183" s="7" t="s">
        <v>1266</v>
      </c>
      <c r="B1183" s="8">
        <v>46020</v>
      </c>
      <c r="C1183" s="7" t="s">
        <v>39</v>
      </c>
      <c r="D1183" s="7" t="s">
        <v>53</v>
      </c>
      <c r="E1183" s="7" t="s">
        <v>54</v>
      </c>
      <c r="F1183" s="7" t="s">
        <v>59</v>
      </c>
      <c r="G1183" s="7" t="s">
        <v>43</v>
      </c>
      <c r="H1183" s="7" t="s">
        <v>60</v>
      </c>
      <c r="I1183" s="7">
        <v>9</v>
      </c>
      <c r="J1183" s="9">
        <v>1300.3399999999999</v>
      </c>
      <c r="K1183" s="10">
        <v>0.12559999999999999</v>
      </c>
      <c r="L1183" s="9">
        <f t="shared" si="36"/>
        <v>10233.155664</v>
      </c>
      <c r="M1183" s="9">
        <f>ROUND(L1183*0.6997,2)</f>
        <v>7160.14</v>
      </c>
      <c r="N1183" s="9">
        <f t="shared" si="37"/>
        <v>3073.0156639999996</v>
      </c>
    </row>
    <row r="1184" spans="1:14" x14ac:dyDescent="0.35">
      <c r="A1184" s="7" t="s">
        <v>1267</v>
      </c>
      <c r="B1184" s="8">
        <v>46020</v>
      </c>
      <c r="C1184" s="7" t="s">
        <v>76</v>
      </c>
      <c r="D1184" s="7" t="s">
        <v>40</v>
      </c>
      <c r="E1184" s="7" t="s">
        <v>91</v>
      </c>
      <c r="F1184" s="7" t="s">
        <v>42</v>
      </c>
      <c r="G1184" s="7" t="s">
        <v>43</v>
      </c>
      <c r="H1184" s="7" t="s">
        <v>151</v>
      </c>
      <c r="I1184" s="7">
        <v>35</v>
      </c>
      <c r="J1184" s="9">
        <v>124.58</v>
      </c>
      <c r="K1184" s="10">
        <v>0.16400000000000001</v>
      </c>
      <c r="L1184" s="9">
        <f t="shared" si="36"/>
        <v>3645.2107999999998</v>
      </c>
      <c r="M1184" s="9">
        <f>ROUND(L1184*0.6218,2)</f>
        <v>2266.59</v>
      </c>
      <c r="N1184" s="9">
        <f t="shared" si="37"/>
        <v>1378.6207999999997</v>
      </c>
    </row>
    <row r="1185" spans="1:14" x14ac:dyDescent="0.35">
      <c r="A1185" s="7" t="s">
        <v>1268</v>
      </c>
      <c r="B1185" s="8">
        <v>46020</v>
      </c>
      <c r="C1185" s="7" t="s">
        <v>76</v>
      </c>
      <c r="D1185" s="7" t="s">
        <v>40</v>
      </c>
      <c r="E1185" s="7" t="s">
        <v>47</v>
      </c>
      <c r="F1185" s="7" t="s">
        <v>48</v>
      </c>
      <c r="G1185" s="7" t="s">
        <v>55</v>
      </c>
      <c r="H1185" s="7" t="s">
        <v>78</v>
      </c>
      <c r="I1185" s="7">
        <v>3</v>
      </c>
      <c r="J1185" s="9">
        <v>255.51</v>
      </c>
      <c r="K1185" s="10">
        <v>4.99E-2</v>
      </c>
      <c r="L1185" s="9">
        <f t="shared" si="36"/>
        <v>728.28015299999993</v>
      </c>
      <c r="M1185" s="9">
        <f>ROUND(L1185*0.6679,2)</f>
        <v>486.42</v>
      </c>
      <c r="N1185" s="9">
        <f t="shared" si="37"/>
        <v>241.86015299999991</v>
      </c>
    </row>
    <row r="1186" spans="1:14" x14ac:dyDescent="0.35">
      <c r="A1186" s="7" t="s">
        <v>1269</v>
      </c>
      <c r="B1186" s="8">
        <v>46020</v>
      </c>
      <c r="C1186" s="7" t="s">
        <v>76</v>
      </c>
      <c r="D1186" s="7" t="s">
        <v>69</v>
      </c>
      <c r="E1186" s="7" t="s">
        <v>113</v>
      </c>
      <c r="F1186" s="7" t="s">
        <v>42</v>
      </c>
      <c r="G1186" s="7" t="s">
        <v>43</v>
      </c>
      <c r="H1186" s="7" t="s">
        <v>110</v>
      </c>
      <c r="I1186" s="7">
        <v>11</v>
      </c>
      <c r="J1186" s="9">
        <v>239.33</v>
      </c>
      <c r="K1186" s="10">
        <v>0.17230000000000001</v>
      </c>
      <c r="L1186" s="9">
        <f t="shared" si="36"/>
        <v>2179.0278510000003</v>
      </c>
      <c r="M1186" s="9">
        <f>ROUND(L1186*0.2166,2)</f>
        <v>471.98</v>
      </c>
      <c r="N1186" s="9">
        <f t="shared" si="37"/>
        <v>1707.0478510000003</v>
      </c>
    </row>
    <row r="1187" spans="1:14" x14ac:dyDescent="0.35">
      <c r="A1187" s="7" t="s">
        <v>1270</v>
      </c>
      <c r="B1187" s="8">
        <v>46020</v>
      </c>
      <c r="C1187" s="7" t="s">
        <v>39</v>
      </c>
      <c r="D1187" s="7" t="s">
        <v>40</v>
      </c>
      <c r="E1187" s="7" t="s">
        <v>139</v>
      </c>
      <c r="F1187" s="7" t="s">
        <v>42</v>
      </c>
      <c r="G1187" s="7" t="s">
        <v>43</v>
      </c>
      <c r="H1187" s="7" t="s">
        <v>60</v>
      </c>
      <c r="I1187" s="7">
        <v>23</v>
      </c>
      <c r="J1187" s="9">
        <v>330.48</v>
      </c>
      <c r="K1187" s="10">
        <v>0.19650000000000001</v>
      </c>
      <c r="L1187" s="9">
        <f t="shared" si="36"/>
        <v>6107.4356400000006</v>
      </c>
      <c r="M1187" s="9">
        <f>ROUND(L1187*0.6176,2)</f>
        <v>3771.95</v>
      </c>
      <c r="N1187" s="9">
        <f t="shared" si="37"/>
        <v>2335.4856400000008</v>
      </c>
    </row>
    <row r="1188" spans="1:14" x14ac:dyDescent="0.35">
      <c r="A1188" s="7" t="s">
        <v>1271</v>
      </c>
      <c r="B1188" s="8">
        <v>46020</v>
      </c>
      <c r="C1188" s="7" t="s">
        <v>76</v>
      </c>
      <c r="D1188" s="7" t="s">
        <v>66</v>
      </c>
      <c r="E1188" s="7" t="s">
        <v>77</v>
      </c>
      <c r="F1188" s="7" t="s">
        <v>59</v>
      </c>
      <c r="G1188" s="7" t="s">
        <v>55</v>
      </c>
      <c r="H1188" s="7" t="s">
        <v>78</v>
      </c>
      <c r="I1188" s="7">
        <v>5</v>
      </c>
      <c r="J1188" s="9">
        <v>102.59</v>
      </c>
      <c r="K1188" s="10">
        <v>4.8099999999999997E-2</v>
      </c>
      <c r="L1188" s="9">
        <f t="shared" si="36"/>
        <v>488.27710500000001</v>
      </c>
      <c r="M1188" s="9">
        <f>ROUND(L1188*0.5586,2)</f>
        <v>272.75</v>
      </c>
      <c r="N1188" s="9">
        <f t="shared" si="37"/>
        <v>215.52710500000001</v>
      </c>
    </row>
    <row r="1189" spans="1:14" x14ac:dyDescent="0.35">
      <c r="A1189" s="7" t="s">
        <v>1272</v>
      </c>
      <c r="B1189" s="8">
        <v>46020</v>
      </c>
      <c r="C1189" s="7" t="s">
        <v>39</v>
      </c>
      <c r="D1189" s="7" t="s">
        <v>66</v>
      </c>
      <c r="E1189" s="7" t="s">
        <v>73</v>
      </c>
      <c r="F1189" s="7" t="s">
        <v>59</v>
      </c>
      <c r="G1189" s="7" t="s">
        <v>49</v>
      </c>
      <c r="H1189" s="7" t="s">
        <v>60</v>
      </c>
      <c r="I1189" s="7">
        <v>7</v>
      </c>
      <c r="J1189" s="9">
        <v>38.450000000000003</v>
      </c>
      <c r="K1189" s="10">
        <v>0.11559999999999999</v>
      </c>
      <c r="L1189" s="9">
        <f t="shared" si="36"/>
        <v>238.03626000000003</v>
      </c>
      <c r="M1189" s="9">
        <f>ROUND(L1189*0.5502,2)</f>
        <v>130.97</v>
      </c>
      <c r="N1189" s="9">
        <f t="shared" si="37"/>
        <v>107.06626000000003</v>
      </c>
    </row>
    <row r="1190" spans="1:14" x14ac:dyDescent="0.35">
      <c r="A1190" s="7" t="s">
        <v>1273</v>
      </c>
      <c r="B1190" s="8">
        <v>46020</v>
      </c>
      <c r="C1190" s="7" t="s">
        <v>39</v>
      </c>
      <c r="D1190" s="7" t="s">
        <v>53</v>
      </c>
      <c r="E1190" s="7" t="s">
        <v>54</v>
      </c>
      <c r="F1190" s="7" t="s">
        <v>42</v>
      </c>
      <c r="G1190" s="7" t="s">
        <v>49</v>
      </c>
      <c r="H1190" s="7" t="s">
        <v>60</v>
      </c>
      <c r="I1190" s="7">
        <v>17</v>
      </c>
      <c r="J1190" s="9">
        <v>1287.1300000000001</v>
      </c>
      <c r="K1190" s="10">
        <v>0.1434</v>
      </c>
      <c r="L1190" s="9">
        <f t="shared" si="36"/>
        <v>18743.444486000004</v>
      </c>
      <c r="M1190" s="9">
        <f>ROUND(L1190*0.7378,2)</f>
        <v>13828.91</v>
      </c>
      <c r="N1190" s="9">
        <f t="shared" si="37"/>
        <v>4914.5344860000041</v>
      </c>
    </row>
    <row r="1191" spans="1:14" x14ac:dyDescent="0.35">
      <c r="A1191" s="7" t="s">
        <v>1274</v>
      </c>
      <c r="B1191" s="8">
        <v>46021</v>
      </c>
      <c r="C1191" s="7" t="s">
        <v>52</v>
      </c>
      <c r="D1191" s="7" t="s">
        <v>66</v>
      </c>
      <c r="E1191" s="7" t="s">
        <v>98</v>
      </c>
      <c r="F1191" s="7" t="s">
        <v>48</v>
      </c>
      <c r="G1191" s="7" t="s">
        <v>55</v>
      </c>
      <c r="H1191" s="7" t="s">
        <v>56</v>
      </c>
      <c r="I1191" s="7">
        <v>1</v>
      </c>
      <c r="J1191" s="9">
        <v>28.1</v>
      </c>
      <c r="K1191" s="10">
        <v>6.4000000000000001E-2</v>
      </c>
      <c r="L1191" s="9">
        <f t="shared" si="36"/>
        <v>26.301600000000001</v>
      </c>
      <c r="M1191" s="9">
        <f>ROUND(L1191*0.5574,2)</f>
        <v>14.66</v>
      </c>
      <c r="N1191" s="9">
        <f t="shared" si="37"/>
        <v>11.6416</v>
      </c>
    </row>
    <row r="1192" spans="1:14" x14ac:dyDescent="0.35">
      <c r="A1192" s="7" t="s">
        <v>1275</v>
      </c>
      <c r="B1192" s="8">
        <v>46021</v>
      </c>
      <c r="C1192" s="7" t="s">
        <v>46</v>
      </c>
      <c r="D1192" s="7" t="s">
        <v>69</v>
      </c>
      <c r="E1192" s="7" t="s">
        <v>70</v>
      </c>
      <c r="F1192" s="7" t="s">
        <v>48</v>
      </c>
      <c r="G1192" s="7" t="s">
        <v>49</v>
      </c>
      <c r="H1192" s="7" t="s">
        <v>50</v>
      </c>
      <c r="I1192" s="7">
        <v>3</v>
      </c>
      <c r="J1192" s="9">
        <v>146.05000000000001</v>
      </c>
      <c r="K1192" s="10">
        <v>8.7900000000000006E-2</v>
      </c>
      <c r="L1192" s="9">
        <f t="shared" si="36"/>
        <v>399.63661500000006</v>
      </c>
      <c r="M1192" s="9">
        <f>ROUND(L1192*0.217,2)</f>
        <v>86.72</v>
      </c>
      <c r="N1192" s="9">
        <f t="shared" si="37"/>
        <v>312.91661500000009</v>
      </c>
    </row>
    <row r="1193" spans="1:14" x14ac:dyDescent="0.35">
      <c r="A1193" s="7" t="s">
        <v>1276</v>
      </c>
      <c r="B1193" s="8">
        <v>46021</v>
      </c>
      <c r="C1193" s="7" t="s">
        <v>46</v>
      </c>
      <c r="D1193" s="7" t="s">
        <v>40</v>
      </c>
      <c r="E1193" s="7" t="s">
        <v>91</v>
      </c>
      <c r="F1193" s="7" t="s">
        <v>42</v>
      </c>
      <c r="G1193" s="7" t="s">
        <v>43</v>
      </c>
      <c r="H1193" s="7" t="s">
        <v>95</v>
      </c>
      <c r="I1193" s="7">
        <v>26</v>
      </c>
      <c r="J1193" s="9">
        <v>130.15</v>
      </c>
      <c r="K1193" s="10">
        <v>0.20280000000000001</v>
      </c>
      <c r="L1193" s="9">
        <f t="shared" si="36"/>
        <v>2697.6450800000002</v>
      </c>
      <c r="M1193" s="9">
        <f>ROUND(L1193*0.6636,2)</f>
        <v>1790.16</v>
      </c>
      <c r="N1193" s="9">
        <f t="shared" si="37"/>
        <v>907.48508000000015</v>
      </c>
    </row>
    <row r="1194" spans="1:14" x14ac:dyDescent="0.35">
      <c r="A1194" s="7" t="s">
        <v>1277</v>
      </c>
      <c r="B1194" s="8">
        <v>46021</v>
      </c>
      <c r="C1194" s="7" t="s">
        <v>39</v>
      </c>
      <c r="D1194" s="7" t="s">
        <v>40</v>
      </c>
      <c r="E1194" s="7" t="s">
        <v>41</v>
      </c>
      <c r="F1194" s="7" t="s">
        <v>42</v>
      </c>
      <c r="G1194" s="7" t="s">
        <v>43</v>
      </c>
      <c r="H1194" s="7" t="s">
        <v>44</v>
      </c>
      <c r="I1194" s="7">
        <v>10</v>
      </c>
      <c r="J1194" s="9">
        <v>386.2</v>
      </c>
      <c r="K1194" s="10">
        <v>0.13669999999999999</v>
      </c>
      <c r="L1194" s="9">
        <f t="shared" si="36"/>
        <v>3334.0645999999997</v>
      </c>
      <c r="M1194" s="9">
        <f>ROUND(L1194*0.635,2)</f>
        <v>2117.13</v>
      </c>
      <c r="N1194" s="9">
        <f t="shared" si="37"/>
        <v>1216.9345999999996</v>
      </c>
    </row>
    <row r="1195" spans="1:14" x14ac:dyDescent="0.35">
      <c r="A1195" s="7" t="s">
        <v>1278</v>
      </c>
      <c r="B1195" s="8">
        <v>46021</v>
      </c>
      <c r="C1195" s="7" t="s">
        <v>46</v>
      </c>
      <c r="D1195" s="7" t="s">
        <v>69</v>
      </c>
      <c r="E1195" s="7" t="s">
        <v>132</v>
      </c>
      <c r="F1195" s="7" t="s">
        <v>59</v>
      </c>
      <c r="G1195" s="7" t="s">
        <v>43</v>
      </c>
      <c r="H1195" s="7" t="s">
        <v>50</v>
      </c>
      <c r="I1195" s="7">
        <v>4</v>
      </c>
      <c r="J1195" s="9">
        <v>77.63</v>
      </c>
      <c r="K1195" s="10">
        <v>0.12889999999999999</v>
      </c>
      <c r="L1195" s="9">
        <f t="shared" si="36"/>
        <v>270.49397199999999</v>
      </c>
      <c r="M1195" s="9">
        <f>ROUND(L1195*0.2411,2)</f>
        <v>65.22</v>
      </c>
      <c r="N1195" s="9">
        <f t="shared" si="37"/>
        <v>205.27397199999999</v>
      </c>
    </row>
    <row r="1196" spans="1:14" x14ac:dyDescent="0.35">
      <c r="A1196" s="7" t="s">
        <v>1279</v>
      </c>
      <c r="B1196" s="8">
        <v>46022</v>
      </c>
      <c r="C1196" s="7" t="s">
        <v>76</v>
      </c>
      <c r="D1196" s="7" t="s">
        <v>53</v>
      </c>
      <c r="E1196" s="7" t="s">
        <v>58</v>
      </c>
      <c r="F1196" s="7" t="s">
        <v>48</v>
      </c>
      <c r="G1196" s="7" t="s">
        <v>55</v>
      </c>
      <c r="H1196" s="7" t="s">
        <v>78</v>
      </c>
      <c r="I1196" s="7">
        <v>3</v>
      </c>
      <c r="J1196" s="9">
        <v>695.46</v>
      </c>
      <c r="K1196" s="10">
        <v>6.3899999999999998E-2</v>
      </c>
      <c r="L1196" s="9">
        <f t="shared" si="36"/>
        <v>1953.0603180000003</v>
      </c>
      <c r="M1196" s="9">
        <f>ROUND(L1196*0.7142,2)</f>
        <v>1394.88</v>
      </c>
      <c r="N1196" s="9">
        <f t="shared" si="37"/>
        <v>558.18031800000017</v>
      </c>
    </row>
    <row r="1197" spans="1:14" x14ac:dyDescent="0.35">
      <c r="A1197" s="7" t="s">
        <v>1280</v>
      </c>
      <c r="B1197" s="8">
        <v>46022</v>
      </c>
      <c r="C1197" s="7" t="s">
        <v>39</v>
      </c>
      <c r="D1197" s="7" t="s">
        <v>66</v>
      </c>
      <c r="E1197" s="7" t="s">
        <v>77</v>
      </c>
      <c r="F1197" s="7" t="s">
        <v>48</v>
      </c>
      <c r="G1197" s="7" t="s">
        <v>55</v>
      </c>
      <c r="H1197" s="7" t="s">
        <v>108</v>
      </c>
      <c r="I1197" s="7">
        <v>3</v>
      </c>
      <c r="J1197" s="9">
        <v>97.27</v>
      </c>
      <c r="K1197" s="10">
        <v>5.0799999999999998E-2</v>
      </c>
      <c r="L1197" s="9">
        <f t="shared" si="36"/>
        <v>276.98605200000003</v>
      </c>
      <c r="M1197" s="9">
        <f>ROUND(L1197*0.585,2)</f>
        <v>162.04</v>
      </c>
      <c r="N1197" s="9">
        <f t="shared" si="37"/>
        <v>114.94605200000004</v>
      </c>
    </row>
    <row r="1198" spans="1:14" x14ac:dyDescent="0.35">
      <c r="A1198" s="7" t="s">
        <v>1281</v>
      </c>
      <c r="B1198" s="8">
        <v>46022</v>
      </c>
      <c r="C1198" s="7" t="s">
        <v>76</v>
      </c>
      <c r="D1198" s="7" t="s">
        <v>69</v>
      </c>
      <c r="E1198" s="7" t="s">
        <v>70</v>
      </c>
      <c r="F1198" s="7" t="s">
        <v>48</v>
      </c>
      <c r="G1198" s="7" t="s">
        <v>55</v>
      </c>
      <c r="H1198" s="7" t="s">
        <v>78</v>
      </c>
      <c r="I1198" s="7">
        <v>2</v>
      </c>
      <c r="J1198" s="9">
        <v>146.26</v>
      </c>
      <c r="K1198" s="10">
        <v>7.1599999999999997E-2</v>
      </c>
      <c r="L1198" s="9">
        <f t="shared" si="36"/>
        <v>271.57556799999998</v>
      </c>
      <c r="M1198" s="9">
        <f>ROUND(L1198*0.2183,2)</f>
        <v>59.28</v>
      </c>
      <c r="N1198" s="9">
        <f t="shared" si="37"/>
        <v>212.29556799999997</v>
      </c>
    </row>
    <row r="1199" spans="1:14" x14ac:dyDescent="0.35">
      <c r="A1199" s="7" t="s">
        <v>1282</v>
      </c>
      <c r="B1199" s="8">
        <v>46022</v>
      </c>
      <c r="C1199" s="7" t="s">
        <v>46</v>
      </c>
      <c r="D1199" s="7" t="s">
        <v>66</v>
      </c>
      <c r="E1199" s="7" t="s">
        <v>73</v>
      </c>
      <c r="F1199" s="7" t="s">
        <v>59</v>
      </c>
      <c r="G1199" s="7" t="s">
        <v>49</v>
      </c>
      <c r="H1199" s="7" t="s">
        <v>50</v>
      </c>
      <c r="I1199" s="7">
        <v>9</v>
      </c>
      <c r="J1199" s="9">
        <v>36.51</v>
      </c>
      <c r="K1199" s="10">
        <v>5.9299999999999999E-2</v>
      </c>
      <c r="L1199" s="9">
        <f t="shared" si="36"/>
        <v>309.10461299999997</v>
      </c>
      <c r="M1199" s="9">
        <f>ROUND(L1199*0.5974,2)</f>
        <v>184.66</v>
      </c>
      <c r="N1199" s="9">
        <f t="shared" si="37"/>
        <v>124.44461299999998</v>
      </c>
    </row>
    <row r="1200" spans="1:14" x14ac:dyDescent="0.35">
      <c r="A1200" s="7" t="s">
        <v>1283</v>
      </c>
      <c r="B1200" s="8">
        <v>46022</v>
      </c>
      <c r="C1200" s="7" t="s">
        <v>76</v>
      </c>
      <c r="D1200" s="7" t="s">
        <v>53</v>
      </c>
      <c r="E1200" s="7" t="s">
        <v>87</v>
      </c>
      <c r="F1200" s="7" t="s">
        <v>59</v>
      </c>
      <c r="G1200" s="7" t="s">
        <v>49</v>
      </c>
      <c r="H1200" s="7" t="s">
        <v>151</v>
      </c>
      <c r="I1200" s="7">
        <v>9</v>
      </c>
      <c r="J1200" s="9">
        <v>894.95</v>
      </c>
      <c r="K1200" s="10">
        <v>9.5500000000000002E-2</v>
      </c>
      <c r="L1200" s="9">
        <f t="shared" si="36"/>
        <v>7285.340475</v>
      </c>
      <c r="M1200" s="9">
        <f>ROUND(L1200*0.7147,2)</f>
        <v>5206.83</v>
      </c>
      <c r="N1200" s="9">
        <f t="shared" si="37"/>
        <v>2078.510475</v>
      </c>
    </row>
    <row r="1201" spans="1:14" x14ac:dyDescent="0.35">
      <c r="A1201" s="7" t="s">
        <v>1284</v>
      </c>
      <c r="B1201" s="8">
        <v>46022</v>
      </c>
      <c r="C1201" s="7" t="s">
        <v>52</v>
      </c>
      <c r="D1201" s="7" t="s">
        <v>66</v>
      </c>
      <c r="E1201" s="7" t="s">
        <v>77</v>
      </c>
      <c r="F1201" s="7" t="s">
        <v>42</v>
      </c>
      <c r="G1201" s="7" t="s">
        <v>43</v>
      </c>
      <c r="H1201" s="7" t="s">
        <v>71</v>
      </c>
      <c r="I1201" s="7">
        <v>33</v>
      </c>
      <c r="J1201" s="9">
        <v>93.2</v>
      </c>
      <c r="K1201" s="10">
        <v>0.20100000000000001</v>
      </c>
      <c r="L1201" s="9">
        <f t="shared" si="36"/>
        <v>2457.4043999999999</v>
      </c>
      <c r="M1201" s="9">
        <f>ROUND(L1201*0.5634,2)</f>
        <v>1384.5</v>
      </c>
      <c r="N1201" s="9">
        <f t="shared" si="37"/>
        <v>1072.9043999999999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8" customWidth="1"/>
    <col min="3" max="3" width="15" customWidth="1"/>
  </cols>
  <sheetData>
    <row r="1" spans="1:3" x14ac:dyDescent="0.35">
      <c r="A1" s="6" t="s">
        <v>28</v>
      </c>
      <c r="B1" s="6" t="s">
        <v>27</v>
      </c>
      <c r="C1" s="6" t="s">
        <v>1285</v>
      </c>
    </row>
    <row r="2" spans="1:3" x14ac:dyDescent="0.35">
      <c r="A2" s="7" t="s">
        <v>54</v>
      </c>
      <c r="B2" s="7" t="s">
        <v>53</v>
      </c>
      <c r="C2" s="9">
        <v>1299</v>
      </c>
    </row>
    <row r="3" spans="1:3" x14ac:dyDescent="0.35">
      <c r="A3" s="7" t="s">
        <v>81</v>
      </c>
      <c r="B3" s="7" t="s">
        <v>53</v>
      </c>
      <c r="C3" s="9">
        <v>1099</v>
      </c>
    </row>
    <row r="4" spans="1:3" x14ac:dyDescent="0.35">
      <c r="A4" s="7" t="s">
        <v>87</v>
      </c>
      <c r="B4" s="7" t="s">
        <v>53</v>
      </c>
      <c r="C4" s="9">
        <v>899</v>
      </c>
    </row>
    <row r="5" spans="1:3" x14ac:dyDescent="0.35">
      <c r="A5" s="7" t="s">
        <v>105</v>
      </c>
      <c r="B5" s="7" t="s">
        <v>53</v>
      </c>
      <c r="C5" s="9">
        <v>449</v>
      </c>
    </row>
    <row r="6" spans="1:3" x14ac:dyDescent="0.35">
      <c r="A6" s="7" t="s">
        <v>58</v>
      </c>
      <c r="B6" s="7" t="s">
        <v>53</v>
      </c>
      <c r="C6" s="9">
        <v>699</v>
      </c>
    </row>
    <row r="7" spans="1:3" x14ac:dyDescent="0.35">
      <c r="A7" s="7" t="s">
        <v>73</v>
      </c>
      <c r="B7" s="7" t="s">
        <v>66</v>
      </c>
      <c r="C7" s="9">
        <v>39</v>
      </c>
    </row>
    <row r="8" spans="1:3" x14ac:dyDescent="0.35">
      <c r="A8" s="7" t="s">
        <v>67</v>
      </c>
      <c r="B8" s="7" t="s">
        <v>66</v>
      </c>
      <c r="C8" s="9">
        <v>89</v>
      </c>
    </row>
    <row r="9" spans="1:3" x14ac:dyDescent="0.35">
      <c r="A9" s="7" t="s">
        <v>137</v>
      </c>
      <c r="B9" s="7" t="s">
        <v>66</v>
      </c>
      <c r="C9" s="9">
        <v>159</v>
      </c>
    </row>
    <row r="10" spans="1:3" x14ac:dyDescent="0.35">
      <c r="A10" s="7" t="s">
        <v>98</v>
      </c>
      <c r="B10" s="7" t="s">
        <v>66</v>
      </c>
      <c r="C10" s="9">
        <v>29</v>
      </c>
    </row>
    <row r="11" spans="1:3" x14ac:dyDescent="0.35">
      <c r="A11" s="7" t="s">
        <v>77</v>
      </c>
      <c r="B11" s="7" t="s">
        <v>66</v>
      </c>
      <c r="C11" s="9">
        <v>99</v>
      </c>
    </row>
    <row r="12" spans="1:3" x14ac:dyDescent="0.35">
      <c r="A12" s="7" t="s">
        <v>47</v>
      </c>
      <c r="B12" s="7" t="s">
        <v>40</v>
      </c>
      <c r="C12" s="9">
        <v>249</v>
      </c>
    </row>
    <row r="13" spans="1:3" x14ac:dyDescent="0.35">
      <c r="A13" s="7" t="s">
        <v>62</v>
      </c>
      <c r="B13" s="7" t="s">
        <v>40</v>
      </c>
      <c r="C13" s="9">
        <v>199</v>
      </c>
    </row>
    <row r="14" spans="1:3" x14ac:dyDescent="0.35">
      <c r="A14" s="7" t="s">
        <v>91</v>
      </c>
      <c r="B14" s="7" t="s">
        <v>40</v>
      </c>
      <c r="C14" s="9">
        <v>129</v>
      </c>
    </row>
    <row r="15" spans="1:3" x14ac:dyDescent="0.35">
      <c r="A15" s="7" t="s">
        <v>41</v>
      </c>
      <c r="B15" s="7" t="s">
        <v>40</v>
      </c>
      <c r="C15" s="9">
        <v>399</v>
      </c>
    </row>
    <row r="16" spans="1:3" x14ac:dyDescent="0.35">
      <c r="A16" s="7" t="s">
        <v>139</v>
      </c>
      <c r="B16" s="7" t="s">
        <v>40</v>
      </c>
      <c r="C16" s="9">
        <v>329</v>
      </c>
    </row>
    <row r="17" spans="1:3" x14ac:dyDescent="0.35">
      <c r="A17" s="7" t="s">
        <v>70</v>
      </c>
      <c r="B17" s="7" t="s">
        <v>69</v>
      </c>
      <c r="C17" s="9">
        <v>149</v>
      </c>
    </row>
    <row r="18" spans="1:3" x14ac:dyDescent="0.35">
      <c r="A18" s="7" t="s">
        <v>107</v>
      </c>
      <c r="B18" s="7" t="s">
        <v>69</v>
      </c>
      <c r="C18" s="9">
        <v>59</v>
      </c>
    </row>
    <row r="19" spans="1:3" x14ac:dyDescent="0.35">
      <c r="A19" s="7" t="s">
        <v>132</v>
      </c>
      <c r="B19" s="7" t="s">
        <v>69</v>
      </c>
      <c r="C19" s="9">
        <v>79</v>
      </c>
    </row>
    <row r="20" spans="1:3" x14ac:dyDescent="0.35">
      <c r="A20" s="7" t="s">
        <v>119</v>
      </c>
      <c r="B20" s="7" t="s">
        <v>69</v>
      </c>
      <c r="C20" s="9">
        <v>199</v>
      </c>
    </row>
    <row r="21" spans="1:3" x14ac:dyDescent="0.35">
      <c r="A21" s="7" t="s">
        <v>113</v>
      </c>
      <c r="B21" s="7" t="s">
        <v>69</v>
      </c>
      <c r="C21" s="9">
        <v>249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14" customWidth="1"/>
    <col min="2" max="3" width="16" customWidth="1"/>
    <col min="5" max="5" width="20" customWidth="1"/>
  </cols>
  <sheetData>
    <row r="1" spans="1:5" x14ac:dyDescent="0.35">
      <c r="A1" s="6" t="s">
        <v>1286</v>
      </c>
      <c r="B1" s="6" t="s">
        <v>35</v>
      </c>
      <c r="C1" s="6" t="s">
        <v>1287</v>
      </c>
      <c r="E1" s="11" t="s">
        <v>1288</v>
      </c>
    </row>
    <row r="2" spans="1:5" x14ac:dyDescent="0.35">
      <c r="A2" s="7" t="s">
        <v>1289</v>
      </c>
      <c r="B2" s="9">
        <f>SUMPRODUCT((YEAR(Sales_Data!$B$2:$B$1201)=2025)*(MONTH(Sales_Data!$B$2:$B$1201)=ROW()-1)*Sales_Data!$L$2:$L$1201)</f>
        <v>249219.22181800005</v>
      </c>
      <c r="C2" s="9">
        <v>239300</v>
      </c>
      <c r="E2" s="10">
        <f t="shared" ref="E2:E13" si="0">(B2-C2)/C2</f>
        <v>4.1450989628082108E-2</v>
      </c>
    </row>
    <row r="3" spans="1:5" x14ac:dyDescent="0.35">
      <c r="A3" s="7" t="s">
        <v>1290</v>
      </c>
      <c r="B3" s="9">
        <f>SUMPRODUCT((YEAR(Sales_Data!$B$2:$B$1201)=2025)*(MONTH(Sales_Data!$B$2:$B$1201)=ROW()-1)*Sales_Data!$L$2:$L$1201)</f>
        <v>173602.67738699997</v>
      </c>
      <c r="C3" s="9">
        <v>158300</v>
      </c>
      <c r="E3" s="10">
        <f t="shared" si="0"/>
        <v>9.6668840094756625E-2</v>
      </c>
    </row>
    <row r="4" spans="1:5" x14ac:dyDescent="0.35">
      <c r="A4" s="7" t="s">
        <v>1291</v>
      </c>
      <c r="B4" s="9">
        <f>SUMPRODUCT((YEAR(Sales_Data!$B$2:$B$1201)=2025)*(MONTH(Sales_Data!$B$2:$B$1201)=ROW()-1)*Sales_Data!$L$2:$L$1201)</f>
        <v>229353.71754499993</v>
      </c>
      <c r="C4" s="9">
        <v>234700</v>
      </c>
      <c r="E4" s="10">
        <f t="shared" si="0"/>
        <v>-2.2779217959097001E-2</v>
      </c>
    </row>
    <row r="5" spans="1:5" x14ac:dyDescent="0.35">
      <c r="A5" s="7" t="s">
        <v>1292</v>
      </c>
      <c r="B5" s="9">
        <f>SUMPRODUCT((YEAR(Sales_Data!$B$2:$B$1201)=2025)*(MONTH(Sales_Data!$B$2:$B$1201)=ROW()-1)*Sales_Data!$L$2:$L$1201)</f>
        <v>229100.7275390001</v>
      </c>
      <c r="C5" s="9">
        <v>208000</v>
      </c>
      <c r="E5" s="10">
        <f t="shared" si="0"/>
        <v>0.10144580547596202</v>
      </c>
    </row>
    <row r="6" spans="1:5" x14ac:dyDescent="0.35">
      <c r="A6" s="7" t="s">
        <v>1293</v>
      </c>
      <c r="B6" s="9">
        <f>SUMPRODUCT((YEAR(Sales_Data!$B$2:$B$1201)=2025)*(MONTH(Sales_Data!$B$2:$B$1201)=ROW()-1)*Sales_Data!$L$2:$L$1201)</f>
        <v>242858.00788000008</v>
      </c>
      <c r="C6" s="9">
        <v>239700</v>
      </c>
      <c r="E6" s="10">
        <f t="shared" si="0"/>
        <v>1.3174834710054557E-2</v>
      </c>
    </row>
    <row r="7" spans="1:5" x14ac:dyDescent="0.35">
      <c r="A7" s="7" t="s">
        <v>1294</v>
      </c>
      <c r="B7" s="9">
        <f>SUMPRODUCT((YEAR(Sales_Data!$B$2:$B$1201)=2025)*(MONTH(Sales_Data!$B$2:$B$1201)=ROW()-1)*Sales_Data!$L$2:$L$1201)</f>
        <v>205923.86877599999</v>
      </c>
      <c r="C7" s="9">
        <v>193900</v>
      </c>
      <c r="E7" s="10">
        <f t="shared" si="0"/>
        <v>6.2010669293450171E-2</v>
      </c>
    </row>
    <row r="8" spans="1:5" x14ac:dyDescent="0.35">
      <c r="A8" s="7" t="s">
        <v>1295</v>
      </c>
      <c r="B8" s="9">
        <f>SUMPRODUCT((YEAR(Sales_Data!$B$2:$B$1201)=2025)*(MONTH(Sales_Data!$B$2:$B$1201)=ROW()-1)*Sales_Data!$L$2:$L$1201)</f>
        <v>219914.48216199994</v>
      </c>
      <c r="C8" s="9">
        <v>194900</v>
      </c>
      <c r="E8" s="10">
        <f t="shared" si="0"/>
        <v>0.12834521376090274</v>
      </c>
    </row>
    <row r="9" spans="1:5" x14ac:dyDescent="0.35">
      <c r="A9" s="7" t="s">
        <v>1296</v>
      </c>
      <c r="B9" s="9">
        <f>SUMPRODUCT((YEAR(Sales_Data!$B$2:$B$1201)=2025)*(MONTH(Sales_Data!$B$2:$B$1201)=ROW()-1)*Sales_Data!$L$2:$L$1201)</f>
        <v>287238.09380400012</v>
      </c>
      <c r="C9" s="9">
        <v>284300</v>
      </c>
      <c r="E9" s="10">
        <f t="shared" si="0"/>
        <v>1.0334484009849173E-2</v>
      </c>
    </row>
    <row r="10" spans="1:5" x14ac:dyDescent="0.35">
      <c r="A10" s="7" t="s">
        <v>1297</v>
      </c>
      <c r="B10" s="9">
        <f>SUMPRODUCT((YEAR(Sales_Data!$B$2:$B$1201)=2025)*(MONTH(Sales_Data!$B$2:$B$1201)=ROW()-1)*Sales_Data!$L$2:$L$1201)</f>
        <v>304839.51122799987</v>
      </c>
      <c r="C10" s="9">
        <v>267400</v>
      </c>
      <c r="E10" s="10">
        <f t="shared" si="0"/>
        <v>0.14001313099476392</v>
      </c>
    </row>
    <row r="11" spans="1:5" x14ac:dyDescent="0.35">
      <c r="A11" s="7" t="s">
        <v>1298</v>
      </c>
      <c r="B11" s="9">
        <f>SUMPRODUCT((YEAR(Sales_Data!$B$2:$B$1201)=2025)*(MONTH(Sales_Data!$B$2:$B$1201)=ROW()-1)*Sales_Data!$L$2:$L$1201)</f>
        <v>224738.53926400008</v>
      </c>
      <c r="C11" s="9">
        <v>219900</v>
      </c>
      <c r="E11" s="10">
        <f t="shared" si="0"/>
        <v>2.2003361819008999E-2</v>
      </c>
    </row>
    <row r="12" spans="1:5" x14ac:dyDescent="0.35">
      <c r="A12" s="7" t="s">
        <v>1299</v>
      </c>
      <c r="B12" s="9">
        <f>SUMPRODUCT((YEAR(Sales_Data!$B$2:$B$1201)=2025)*(MONTH(Sales_Data!$B$2:$B$1201)=ROW()-1)*Sales_Data!$L$2:$L$1201)</f>
        <v>343748.27539199992</v>
      </c>
      <c r="C12" s="9">
        <v>300600</v>
      </c>
      <c r="E12" s="10">
        <f t="shared" si="0"/>
        <v>0.14354050363273427</v>
      </c>
    </row>
    <row r="13" spans="1:5" x14ac:dyDescent="0.35">
      <c r="A13" s="7" t="s">
        <v>1300</v>
      </c>
      <c r="B13" s="9">
        <f>SUMPRODUCT((YEAR(Sales_Data!$B$2:$B$1201)=2025)*(MONTH(Sales_Data!$B$2:$B$1201)=ROW()-1)*Sales_Data!$L$2:$L$1201)</f>
        <v>355963.58535300009</v>
      </c>
      <c r="C13" s="9">
        <v>321700</v>
      </c>
      <c r="E13" s="10">
        <f t="shared" si="0"/>
        <v>0.10650788110972984</v>
      </c>
    </row>
    <row r="14" spans="1:5" x14ac:dyDescent="0.35">
      <c r="B14" s="12"/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 - Assumptions</vt:lpstr>
      <vt:lpstr>Sales_Data</vt:lpstr>
      <vt:lpstr>Products</vt:lpstr>
      <vt:lpstr>Monthly_Targets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Seyed Emad Mirheirati</cp:lastModifiedBy>
  <cp:revision>0</cp:revision>
  <dcterms:created xsi:type="dcterms:W3CDTF">2026-09-03T01:38:21Z</dcterms:created>
  <dcterms:modified xsi:type="dcterms:W3CDTF">2026-09-03T19:24:51Z</dcterms:modified>
  <dc:language>en-US</dc:language>
</cp:coreProperties>
</file>